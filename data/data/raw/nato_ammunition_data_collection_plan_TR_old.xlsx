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/>
  <mc:AlternateContent xmlns:mc="http://schemas.openxmlformats.org/markup-compatibility/2006">
    <mc:Choice Requires="x15">
      <x15ac:absPath xmlns:x15ac="http://schemas.microsoft.com/office/spreadsheetml/2010/11/ac" url="/Users/hsynsltn/Desktop/Mühimmat /"/>
    </mc:Choice>
  </mc:AlternateContent>
  <xr:revisionPtr revIDLastSave="0" documentId="13_ncr:1_{94B3D552-3C09-714D-89DB-AC03567CBF06}" xr6:coauthVersionLast="47" xr6:coauthVersionMax="47" xr10:uidLastSave="{00000000-0000-0000-0000-000000000000}"/>
  <bookViews>
    <workbookView xWindow="19180" yWindow="600" windowWidth="19220" windowHeight="19740" activeTab="3" xr2:uid="{00000000-000D-0000-FFFF-FFFF00000000}"/>
  </bookViews>
  <sheets>
    <sheet name="Veri Toplama Planı" sheetId="1" r:id="rId1"/>
    <sheet name="Kaynak Haritası" sheetId="2" r:id="rId2"/>
    <sheet name="İndirme Kontrol Listesi" sheetId="3" r:id="rId3"/>
    <sheet name="Ülke-Yıl Veri Şablonu" sheetId="4" r:id="rId4"/>
    <sheet name="Değişken-Kaynak Eşlemesi" sheetId="5" r:id="rId5"/>
    <sheet name="NATO Veri Giriş Rehberi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89" i="4" l="1"/>
  <c r="K189" i="4"/>
  <c r="H35" i="4"/>
  <c r="K35" i="4"/>
  <c r="H200" i="4"/>
  <c r="K200" i="4"/>
  <c r="Q221" i="4"/>
  <c r="K221" i="4"/>
  <c r="H221" i="4"/>
  <c r="Q220" i="4"/>
  <c r="K220" i="4"/>
  <c r="H220" i="4"/>
  <c r="Q219" i="4"/>
  <c r="K219" i="4"/>
  <c r="H219" i="4"/>
  <c r="Q218" i="4"/>
  <c r="K218" i="4"/>
  <c r="H218" i="4"/>
  <c r="Q217" i="4"/>
  <c r="K217" i="4"/>
  <c r="H217" i="4"/>
  <c r="Q216" i="4"/>
  <c r="K216" i="4"/>
  <c r="H216" i="4"/>
  <c r="Q215" i="4"/>
  <c r="K215" i="4"/>
  <c r="H215" i="4"/>
  <c r="Q214" i="4"/>
  <c r="K214" i="4"/>
  <c r="H214" i="4"/>
  <c r="Q213" i="4"/>
  <c r="K213" i="4"/>
  <c r="H213" i="4"/>
  <c r="Q212" i="4"/>
  <c r="K212" i="4"/>
  <c r="H212" i="4"/>
  <c r="Q211" i="4"/>
  <c r="K211" i="4"/>
  <c r="H211" i="4"/>
  <c r="Q210" i="4"/>
  <c r="K210" i="4"/>
  <c r="H210" i="4"/>
  <c r="Q209" i="4"/>
  <c r="K209" i="4"/>
  <c r="H209" i="4"/>
  <c r="Q208" i="4"/>
  <c r="K208" i="4"/>
  <c r="H208" i="4"/>
  <c r="Q207" i="4"/>
  <c r="K207" i="4"/>
  <c r="H207" i="4"/>
  <c r="Q206" i="4"/>
  <c r="K206" i="4"/>
  <c r="H206" i="4"/>
  <c r="Q205" i="4"/>
  <c r="K205" i="4"/>
  <c r="H205" i="4"/>
  <c r="Q204" i="4"/>
  <c r="K204" i="4"/>
  <c r="H204" i="4"/>
  <c r="Q203" i="4"/>
  <c r="K203" i="4"/>
  <c r="H203" i="4"/>
  <c r="Q202" i="4"/>
  <c r="K202" i="4"/>
  <c r="H202" i="4"/>
  <c r="Q201" i="4"/>
  <c r="K201" i="4"/>
  <c r="H201" i="4"/>
  <c r="Q200" i="4"/>
  <c r="Q199" i="4"/>
  <c r="K199" i="4"/>
  <c r="H199" i="4"/>
  <c r="Q198" i="4"/>
  <c r="K198" i="4"/>
  <c r="H198" i="4"/>
  <c r="Q197" i="4"/>
  <c r="K197" i="4"/>
  <c r="H197" i="4"/>
  <c r="Q196" i="4"/>
  <c r="K196" i="4"/>
  <c r="H196" i="4"/>
  <c r="Q195" i="4"/>
  <c r="K195" i="4"/>
  <c r="H195" i="4"/>
  <c r="Q194" i="4"/>
  <c r="K194" i="4"/>
  <c r="H194" i="4"/>
  <c r="Q193" i="4"/>
  <c r="K193" i="4"/>
  <c r="H193" i="4"/>
  <c r="Q192" i="4"/>
  <c r="K192" i="4"/>
  <c r="H192" i="4"/>
  <c r="Q191" i="4"/>
  <c r="K191" i="4"/>
  <c r="H191" i="4"/>
  <c r="Q190" i="4"/>
  <c r="K190" i="4"/>
  <c r="H190" i="4"/>
  <c r="Q189" i="4"/>
  <c r="Q188" i="4"/>
  <c r="K188" i="4"/>
  <c r="H188" i="4"/>
  <c r="Q187" i="4"/>
  <c r="K187" i="4"/>
  <c r="H187" i="4"/>
  <c r="Q186" i="4"/>
  <c r="K186" i="4"/>
  <c r="H186" i="4"/>
  <c r="Q185" i="4"/>
  <c r="K185" i="4"/>
  <c r="H185" i="4"/>
  <c r="Q184" i="4"/>
  <c r="K184" i="4"/>
  <c r="H184" i="4"/>
  <c r="Q183" i="4"/>
  <c r="K183" i="4"/>
  <c r="H183" i="4"/>
  <c r="Q182" i="4"/>
  <c r="K182" i="4"/>
  <c r="H182" i="4"/>
  <c r="Q181" i="4"/>
  <c r="K181" i="4"/>
  <c r="H181" i="4"/>
  <c r="Q180" i="4"/>
  <c r="K180" i="4"/>
  <c r="H180" i="4"/>
  <c r="Q179" i="4"/>
  <c r="K179" i="4"/>
  <c r="H179" i="4"/>
  <c r="Q178" i="4"/>
  <c r="K178" i="4"/>
  <c r="H178" i="4"/>
  <c r="Q177" i="4"/>
  <c r="K177" i="4"/>
  <c r="H177" i="4"/>
  <c r="Q176" i="4"/>
  <c r="K176" i="4"/>
  <c r="H176" i="4"/>
  <c r="Q175" i="4"/>
  <c r="K175" i="4"/>
  <c r="H175" i="4"/>
  <c r="Q174" i="4"/>
  <c r="K174" i="4"/>
  <c r="H174" i="4"/>
  <c r="Q173" i="4"/>
  <c r="K173" i="4"/>
  <c r="H173" i="4"/>
  <c r="Q172" i="4"/>
  <c r="K172" i="4"/>
  <c r="H172" i="4"/>
  <c r="Q171" i="4"/>
  <c r="K171" i="4"/>
  <c r="H171" i="4"/>
  <c r="Q170" i="4"/>
  <c r="K170" i="4"/>
  <c r="H170" i="4"/>
  <c r="Q169" i="4"/>
  <c r="K169" i="4"/>
  <c r="H169" i="4"/>
  <c r="Q168" i="4"/>
  <c r="K168" i="4"/>
  <c r="H168" i="4"/>
  <c r="Q167" i="4"/>
  <c r="K167" i="4"/>
  <c r="H167" i="4"/>
  <c r="Q166" i="4"/>
  <c r="K166" i="4"/>
  <c r="H166" i="4"/>
  <c r="Q165" i="4"/>
  <c r="K165" i="4"/>
  <c r="H165" i="4"/>
  <c r="Q164" i="4"/>
  <c r="K164" i="4"/>
  <c r="H164" i="4"/>
  <c r="Q163" i="4"/>
  <c r="K163" i="4"/>
  <c r="H163" i="4"/>
  <c r="Q162" i="4"/>
  <c r="K162" i="4"/>
  <c r="H162" i="4"/>
  <c r="Q161" i="4"/>
  <c r="K161" i="4"/>
  <c r="H161" i="4"/>
  <c r="Q160" i="4"/>
  <c r="K160" i="4"/>
  <c r="H160" i="4"/>
  <c r="Q159" i="4"/>
  <c r="K159" i="4"/>
  <c r="H159" i="4"/>
  <c r="Q158" i="4"/>
  <c r="K158" i="4"/>
  <c r="H158" i="4"/>
  <c r="Q157" i="4"/>
  <c r="K157" i="4"/>
  <c r="H157" i="4"/>
  <c r="Q156" i="4"/>
  <c r="K156" i="4"/>
  <c r="H156" i="4"/>
  <c r="Q155" i="4"/>
  <c r="K155" i="4"/>
  <c r="H155" i="4"/>
  <c r="Q154" i="4"/>
  <c r="K154" i="4"/>
  <c r="H154" i="4"/>
  <c r="Q153" i="4"/>
  <c r="K153" i="4"/>
  <c r="H153" i="4"/>
  <c r="Q152" i="4"/>
  <c r="K152" i="4"/>
  <c r="H152" i="4"/>
  <c r="Q151" i="4"/>
  <c r="K151" i="4"/>
  <c r="H151" i="4"/>
  <c r="Q150" i="4"/>
  <c r="K150" i="4"/>
  <c r="H150" i="4"/>
  <c r="Q149" i="4"/>
  <c r="K149" i="4"/>
  <c r="H149" i="4"/>
  <c r="Q148" i="4"/>
  <c r="K148" i="4"/>
  <c r="H148" i="4"/>
  <c r="Q147" i="4"/>
  <c r="K147" i="4"/>
  <c r="H147" i="4"/>
  <c r="Q146" i="4"/>
  <c r="K146" i="4"/>
  <c r="H146" i="4"/>
  <c r="Q145" i="4"/>
  <c r="K145" i="4"/>
  <c r="H145" i="4"/>
  <c r="Q144" i="4"/>
  <c r="K144" i="4"/>
  <c r="H144" i="4"/>
  <c r="Q143" i="4"/>
  <c r="K143" i="4"/>
  <c r="H143" i="4"/>
  <c r="Q142" i="4"/>
  <c r="K142" i="4"/>
  <c r="H142" i="4"/>
  <c r="Q141" i="4"/>
  <c r="K141" i="4"/>
  <c r="H141" i="4"/>
  <c r="Q140" i="4"/>
  <c r="K140" i="4"/>
  <c r="H140" i="4"/>
  <c r="Q139" i="4"/>
  <c r="K139" i="4"/>
  <c r="H139" i="4"/>
  <c r="Q138" i="4"/>
  <c r="K138" i="4"/>
  <c r="H138" i="4"/>
  <c r="Q137" i="4"/>
  <c r="K137" i="4"/>
  <c r="H137" i="4"/>
  <c r="Q136" i="4"/>
  <c r="K136" i="4"/>
  <c r="H136" i="4"/>
  <c r="Q135" i="4"/>
  <c r="K135" i="4"/>
  <c r="H135" i="4"/>
  <c r="Q134" i="4"/>
  <c r="K134" i="4"/>
  <c r="H134" i="4"/>
  <c r="Q133" i="4"/>
  <c r="K133" i="4"/>
  <c r="H133" i="4"/>
  <c r="Q132" i="4"/>
  <c r="K132" i="4"/>
  <c r="H132" i="4"/>
  <c r="Q131" i="4"/>
  <c r="K131" i="4"/>
  <c r="H131" i="4"/>
  <c r="Q130" i="4"/>
  <c r="K130" i="4"/>
  <c r="H130" i="4"/>
  <c r="Q129" i="4"/>
  <c r="K129" i="4"/>
  <c r="H129" i="4"/>
  <c r="Q128" i="4"/>
  <c r="K128" i="4"/>
  <c r="H128" i="4"/>
  <c r="Q127" i="4"/>
  <c r="K127" i="4"/>
  <c r="H127" i="4"/>
  <c r="Q126" i="4"/>
  <c r="K126" i="4"/>
  <c r="H126" i="4"/>
  <c r="Q125" i="4"/>
  <c r="K125" i="4"/>
  <c r="H125" i="4"/>
  <c r="Q124" i="4"/>
  <c r="K124" i="4"/>
  <c r="H124" i="4"/>
  <c r="Q123" i="4"/>
  <c r="K123" i="4"/>
  <c r="H123" i="4"/>
  <c r="Q122" i="4"/>
  <c r="K122" i="4"/>
  <c r="H122" i="4"/>
  <c r="Q121" i="4"/>
  <c r="K121" i="4"/>
  <c r="H121" i="4"/>
  <c r="Q120" i="4"/>
  <c r="K120" i="4"/>
  <c r="H120" i="4"/>
  <c r="Q119" i="4"/>
  <c r="K119" i="4"/>
  <c r="H119" i="4"/>
  <c r="Q118" i="4"/>
  <c r="K118" i="4"/>
  <c r="H118" i="4"/>
  <c r="Q117" i="4"/>
  <c r="K117" i="4"/>
  <c r="H117" i="4"/>
  <c r="Q116" i="4"/>
  <c r="K116" i="4"/>
  <c r="H116" i="4"/>
  <c r="Q115" i="4"/>
  <c r="K115" i="4"/>
  <c r="H115" i="4"/>
  <c r="Q114" i="4"/>
  <c r="K114" i="4"/>
  <c r="H114" i="4"/>
  <c r="Q113" i="4"/>
  <c r="K113" i="4"/>
  <c r="H113" i="4"/>
  <c r="Q112" i="4"/>
  <c r="K112" i="4"/>
  <c r="H112" i="4"/>
  <c r="Q111" i="4"/>
  <c r="K111" i="4"/>
  <c r="H111" i="4"/>
  <c r="Q110" i="4"/>
  <c r="K110" i="4"/>
  <c r="H110" i="4"/>
  <c r="Q109" i="4"/>
  <c r="K109" i="4"/>
  <c r="H109" i="4"/>
  <c r="Q108" i="4"/>
  <c r="K108" i="4"/>
  <c r="H108" i="4"/>
  <c r="Q107" i="4"/>
  <c r="K107" i="4"/>
  <c r="H107" i="4"/>
  <c r="Q106" i="4"/>
  <c r="K106" i="4"/>
  <c r="H106" i="4"/>
  <c r="Q105" i="4"/>
  <c r="K105" i="4"/>
  <c r="H105" i="4"/>
  <c r="Q104" i="4"/>
  <c r="K104" i="4"/>
  <c r="H104" i="4"/>
  <c r="Q103" i="4"/>
  <c r="K103" i="4"/>
  <c r="H103" i="4"/>
  <c r="Q102" i="4"/>
  <c r="K102" i="4"/>
  <c r="H102" i="4"/>
  <c r="Q101" i="4"/>
  <c r="K101" i="4"/>
  <c r="H101" i="4"/>
  <c r="Q100" i="4"/>
  <c r="K100" i="4"/>
  <c r="H100" i="4"/>
  <c r="Q99" i="4"/>
  <c r="K99" i="4"/>
  <c r="H99" i="4"/>
  <c r="Q98" i="4"/>
  <c r="K98" i="4"/>
  <c r="H98" i="4"/>
  <c r="Q97" i="4"/>
  <c r="K97" i="4"/>
  <c r="H97" i="4"/>
  <c r="Q96" i="4"/>
  <c r="K96" i="4"/>
  <c r="H96" i="4"/>
  <c r="Q95" i="4"/>
  <c r="K95" i="4"/>
  <c r="H95" i="4"/>
  <c r="Q94" i="4"/>
  <c r="K94" i="4"/>
  <c r="H94" i="4"/>
  <c r="Q93" i="4"/>
  <c r="K93" i="4"/>
  <c r="H93" i="4"/>
  <c r="Q92" i="4"/>
  <c r="K92" i="4"/>
  <c r="H92" i="4"/>
  <c r="Q91" i="4"/>
  <c r="K91" i="4"/>
  <c r="H91" i="4"/>
  <c r="Q90" i="4"/>
  <c r="K90" i="4"/>
  <c r="H90" i="4"/>
  <c r="Q89" i="4"/>
  <c r="K89" i="4"/>
  <c r="H89" i="4"/>
  <c r="Q88" i="4"/>
  <c r="K88" i="4"/>
  <c r="H88" i="4"/>
  <c r="Q87" i="4"/>
  <c r="K87" i="4"/>
  <c r="H87" i="4"/>
  <c r="Q86" i="4"/>
  <c r="K86" i="4"/>
  <c r="H86" i="4"/>
  <c r="Q85" i="4"/>
  <c r="K85" i="4"/>
  <c r="H85" i="4"/>
  <c r="Q84" i="4"/>
  <c r="K84" i="4"/>
  <c r="H84" i="4"/>
  <c r="Q83" i="4"/>
  <c r="K83" i="4"/>
  <c r="H83" i="4"/>
  <c r="Q82" i="4"/>
  <c r="K82" i="4"/>
  <c r="H82" i="4"/>
  <c r="Q81" i="4"/>
  <c r="K81" i="4"/>
  <c r="H81" i="4"/>
  <c r="Q80" i="4"/>
  <c r="K80" i="4"/>
  <c r="H80" i="4"/>
  <c r="Q79" i="4"/>
  <c r="K79" i="4"/>
  <c r="H79" i="4"/>
  <c r="Q78" i="4"/>
  <c r="K78" i="4"/>
  <c r="H78" i="4"/>
  <c r="Q77" i="4"/>
  <c r="K77" i="4"/>
  <c r="H77" i="4"/>
  <c r="Q76" i="4"/>
  <c r="K76" i="4"/>
  <c r="H76" i="4"/>
  <c r="Q75" i="4"/>
  <c r="K75" i="4"/>
  <c r="H75" i="4"/>
  <c r="Q74" i="4"/>
  <c r="K74" i="4"/>
  <c r="H74" i="4"/>
  <c r="Q73" i="4"/>
  <c r="K73" i="4"/>
  <c r="H73" i="4"/>
  <c r="Q72" i="4"/>
  <c r="K72" i="4"/>
  <c r="H72" i="4"/>
  <c r="Q71" i="4"/>
  <c r="K71" i="4"/>
  <c r="H71" i="4"/>
  <c r="Q70" i="4"/>
  <c r="K70" i="4"/>
  <c r="H70" i="4"/>
  <c r="Q69" i="4"/>
  <c r="K69" i="4"/>
  <c r="H69" i="4"/>
  <c r="Q68" i="4"/>
  <c r="K68" i="4"/>
  <c r="H68" i="4"/>
  <c r="Q67" i="4"/>
  <c r="K67" i="4"/>
  <c r="H67" i="4"/>
  <c r="Q66" i="4"/>
  <c r="K66" i="4"/>
  <c r="H66" i="4"/>
  <c r="Q65" i="4"/>
  <c r="K65" i="4"/>
  <c r="H65" i="4"/>
  <c r="Q64" i="4"/>
  <c r="K64" i="4"/>
  <c r="H64" i="4"/>
  <c r="Q63" i="4"/>
  <c r="K63" i="4"/>
  <c r="H63" i="4"/>
  <c r="Q62" i="4"/>
  <c r="K62" i="4"/>
  <c r="H62" i="4"/>
  <c r="Q61" i="4"/>
  <c r="K61" i="4"/>
  <c r="H61" i="4"/>
  <c r="Q60" i="4"/>
  <c r="K60" i="4"/>
  <c r="H60" i="4"/>
  <c r="Q59" i="4"/>
  <c r="K59" i="4"/>
  <c r="H59" i="4"/>
  <c r="Q58" i="4"/>
  <c r="K58" i="4"/>
  <c r="H58" i="4"/>
  <c r="Q57" i="4"/>
  <c r="K57" i="4"/>
  <c r="H57" i="4"/>
  <c r="Q56" i="4"/>
  <c r="K56" i="4"/>
  <c r="H56" i="4"/>
  <c r="Q55" i="4"/>
  <c r="K55" i="4"/>
  <c r="H55" i="4"/>
  <c r="Q54" i="4"/>
  <c r="K54" i="4"/>
  <c r="H54" i="4"/>
  <c r="Q53" i="4"/>
  <c r="K53" i="4"/>
  <c r="H53" i="4"/>
  <c r="Q52" i="4"/>
  <c r="K52" i="4"/>
  <c r="H52" i="4"/>
  <c r="Q51" i="4"/>
  <c r="K51" i="4"/>
  <c r="H51" i="4"/>
  <c r="Q50" i="4"/>
  <c r="K50" i="4"/>
  <c r="H50" i="4"/>
  <c r="Q49" i="4"/>
  <c r="K49" i="4"/>
  <c r="H49" i="4"/>
  <c r="Q48" i="4"/>
  <c r="K48" i="4"/>
  <c r="H48" i="4"/>
  <c r="Q47" i="4"/>
  <c r="K47" i="4"/>
  <c r="H47" i="4"/>
  <c r="Q46" i="4"/>
  <c r="K46" i="4"/>
  <c r="H46" i="4"/>
  <c r="Q45" i="4"/>
  <c r="K45" i="4"/>
  <c r="H45" i="4"/>
  <c r="Q44" i="4"/>
  <c r="K44" i="4"/>
  <c r="H44" i="4"/>
  <c r="Q43" i="4"/>
  <c r="K43" i="4"/>
  <c r="H43" i="4"/>
  <c r="Q42" i="4"/>
  <c r="K42" i="4"/>
  <c r="H42" i="4"/>
  <c r="Q41" i="4"/>
  <c r="K41" i="4"/>
  <c r="H41" i="4"/>
  <c r="Q40" i="4"/>
  <c r="K40" i="4"/>
  <c r="H40" i="4"/>
  <c r="Q39" i="4"/>
  <c r="K39" i="4"/>
  <c r="H39" i="4"/>
  <c r="Q38" i="4"/>
  <c r="K38" i="4"/>
  <c r="H38" i="4"/>
  <c r="Q37" i="4"/>
  <c r="K37" i="4"/>
  <c r="H37" i="4"/>
  <c r="Q36" i="4"/>
  <c r="K36" i="4"/>
  <c r="H36" i="4"/>
  <c r="Q35" i="4"/>
  <c r="Q34" i="4"/>
  <c r="K34" i="4"/>
  <c r="H34" i="4"/>
  <c r="Q33" i="4"/>
  <c r="K33" i="4"/>
  <c r="H33" i="4"/>
  <c r="Q32" i="4"/>
  <c r="K32" i="4"/>
  <c r="H32" i="4"/>
  <c r="Q31" i="4"/>
  <c r="K31" i="4"/>
  <c r="H31" i="4"/>
  <c r="Q30" i="4"/>
  <c r="K30" i="4"/>
  <c r="H30" i="4"/>
  <c r="Q29" i="4"/>
  <c r="K29" i="4"/>
  <c r="H29" i="4"/>
  <c r="Q28" i="4"/>
  <c r="K28" i="4"/>
  <c r="H28" i="4"/>
  <c r="Q27" i="4"/>
  <c r="K27" i="4"/>
  <c r="H27" i="4"/>
  <c r="Q26" i="4"/>
  <c r="K26" i="4"/>
  <c r="H26" i="4"/>
  <c r="Q25" i="4"/>
  <c r="K25" i="4"/>
  <c r="H25" i="4"/>
  <c r="Q24" i="4"/>
  <c r="K24" i="4"/>
  <c r="H24" i="4"/>
  <c r="Q23" i="4"/>
  <c r="K23" i="4"/>
  <c r="H23" i="4"/>
  <c r="Q22" i="4"/>
  <c r="K22" i="4"/>
  <c r="H22" i="4"/>
  <c r="Q21" i="4"/>
  <c r="K21" i="4"/>
  <c r="H21" i="4"/>
  <c r="Q20" i="4"/>
  <c r="K20" i="4"/>
  <c r="H20" i="4"/>
  <c r="Q19" i="4"/>
  <c r="K19" i="4"/>
  <c r="H19" i="4"/>
  <c r="Q18" i="4"/>
  <c r="K18" i="4"/>
  <c r="H18" i="4"/>
  <c r="Q17" i="4"/>
  <c r="K17" i="4"/>
  <c r="H17" i="4"/>
  <c r="Q16" i="4"/>
  <c r="K16" i="4"/>
  <c r="H16" i="4"/>
  <c r="Q15" i="4"/>
  <c r="K15" i="4"/>
  <c r="H15" i="4"/>
  <c r="Q14" i="4"/>
  <c r="K14" i="4"/>
  <c r="H14" i="4"/>
  <c r="Q13" i="4"/>
  <c r="K13" i="4"/>
  <c r="H13" i="4"/>
  <c r="Q12" i="4"/>
  <c r="K12" i="4"/>
  <c r="H12" i="4"/>
  <c r="Q11" i="4"/>
  <c r="K11" i="4"/>
  <c r="H11" i="4"/>
  <c r="Q10" i="4"/>
  <c r="K10" i="4"/>
  <c r="H10" i="4"/>
  <c r="Q9" i="4"/>
  <c r="K9" i="4"/>
  <c r="H9" i="4"/>
  <c r="Q8" i="4"/>
  <c r="K8" i="4"/>
  <c r="H8" i="4"/>
  <c r="Q7" i="4"/>
  <c r="K7" i="4"/>
  <c r="H7" i="4"/>
  <c r="Q6" i="4"/>
  <c r="K6" i="4"/>
  <c r="H6" i="4"/>
  <c r="Q5" i="4"/>
  <c r="K5" i="4"/>
  <c r="H5" i="4"/>
  <c r="Q4" i="4"/>
  <c r="K4" i="4"/>
  <c r="H4" i="4"/>
  <c r="Q3" i="4"/>
  <c r="K3" i="4"/>
  <c r="H3" i="4"/>
  <c r="Q2" i="4"/>
  <c r="K2" i="4"/>
  <c r="H2" i="4"/>
</calcChain>
</file>

<file path=xl/sharedStrings.xml><?xml version="1.0" encoding="utf-8"?>
<sst xmlns="http://schemas.openxmlformats.org/spreadsheetml/2006/main" count="484" uniqueCount="232">
  <si>
    <t>NATO Mühimmat Dayanıklılığı Makalesi - Veri Toplama Planı</t>
  </si>
  <si>
    <t>Ana dönem</t>
  </si>
  <si>
    <t>2014-2024</t>
  </si>
  <si>
    <t>2025 yalnızca tahmini/öncü veri varsa sağlamlık testi olarak kullanılacak</t>
  </si>
  <si>
    <t>Frekans</t>
  </si>
  <si>
    <t>Yıllık ülke-panel</t>
  </si>
  <si>
    <t>Aylık/çeyreklik veri kullanılmayacak; ana değişkenler yıllık yayımlanıyor</t>
  </si>
  <si>
    <t>Ana örneklem</t>
  </si>
  <si>
    <t>20 Avrupa NATO ülkesi</t>
  </si>
  <si>
    <t>ABD ana panele ülke olarak değil; ABD’ye bağımlılık değişkeni olarak girecek</t>
  </si>
  <si>
    <t>Ana bağımlı değişken</t>
  </si>
  <si>
    <t>ARI - Mühimmat Dayanıklılığı Endeksi</t>
  </si>
  <si>
    <t>Açık veri proxy’leriyle kurulacak; gizli stok verisi kullanılmayacak</t>
  </si>
  <si>
    <t>Ana yöntem</t>
  </si>
  <si>
    <t>İki yönlü sabit etkiler panel modeli</t>
  </si>
  <si>
    <t>Ülke ve yıl sabit etkileri; kümelenmiş standart hatalar</t>
  </si>
  <si>
    <t>Özgün değişken</t>
  </si>
  <si>
    <t>Budget-Capacity Gap</t>
  </si>
  <si>
    <t>z(ΔSavunma Harcaması) - z(ΔARI)</t>
  </si>
  <si>
    <t>Kaynak Grubu</t>
  </si>
  <si>
    <t>Ana Kaynak</t>
  </si>
  <si>
    <t>Değişkenler</t>
  </si>
  <si>
    <t>Kapsam</t>
  </si>
  <si>
    <t>Güvenilirlik</t>
  </si>
  <si>
    <t>Kullanım Rolü</t>
  </si>
  <si>
    <t>URL / Erişim Notu</t>
  </si>
  <si>
    <t>Savunma harcaması ve ekipman payı</t>
  </si>
  <si>
    <t>NATO Defence Expenditure of NATO Countries 2014-2025</t>
  </si>
  <si>
    <t>defence_spending, defence_spending_gdp, equipment_share</t>
  </si>
  <si>
    <t>Yıllık</t>
  </si>
  <si>
    <t>NATO ülkeleri</t>
  </si>
  <si>
    <t>Yüksek</t>
  </si>
  <si>
    <t>Ana veri</t>
  </si>
  <si>
    <t>https://www.nato.int/en/news-and-events/articles/news/2025/08/28/defence-expenditure-of-nato-countries-2014-2025</t>
  </si>
  <si>
    <t>Askeri harcama alternatif kaynağı</t>
  </si>
  <si>
    <t>SIPRI Military Expenditure Database</t>
  </si>
  <si>
    <t>military_expenditure_usd, military_expenditure_gdp</t>
  </si>
  <si>
    <t>Dünya ülkeleri, 1949-2025</t>
  </si>
  <si>
    <t>Kontrol / robustness</t>
  </si>
  <si>
    <t>https://www.sipri.org/databases/milex</t>
  </si>
  <si>
    <t>Mühimmat ticareti</t>
  </si>
  <si>
    <t>UN Comtrade HS 9306</t>
  </si>
  <si>
    <t>munitions_exports, munitions_imports, net_exports, import_dependence</t>
  </si>
  <si>
    <t>Ülke-mal kodu ticareti</t>
  </si>
  <si>
    <t>Yüksek-Orta</t>
  </si>
  <si>
    <t>ARI ana bileşeni</t>
  </si>
  <si>
    <t>https://comtradeplus.un.org/TradeFlow?CommodityCodes=9306&amp;Frequency=A</t>
  </si>
  <si>
    <t>ABD’ye silah bağımlılığı</t>
  </si>
  <si>
    <t>SIPRI Arms Transfers Database</t>
  </si>
  <si>
    <t>arms_imports_from_us, total_arms_imports, us_dependence</t>
  </si>
  <si>
    <t>Yıllık / dönemsel TIV</t>
  </si>
  <si>
    <t>1950’den en son tam yıla kadar</t>
  </si>
  <si>
    <t>Ana bağımsız değişken</t>
  </si>
  <si>
    <t>https://armstransfers.sipri.org/ArmsTransfer/ImportExport</t>
  </si>
  <si>
    <t>Sanayi kapasitesi</t>
  </si>
  <si>
    <t>World Bank WDI - Manufacturing value added % GDP</t>
  </si>
  <si>
    <t>manufacturing_value_added_gdp</t>
  </si>
  <si>
    <t>1960-2024 civarı</t>
  </si>
  <si>
    <t>Mekanizma değişkeni</t>
  </si>
  <si>
    <t>https://data.worldbank.org/indicator/NV.IND.MANF.ZS</t>
  </si>
  <si>
    <t>Ar-Ge kapasitesi</t>
  </si>
  <si>
    <t>World Bank WDI - R&amp;D expenditure % GDP</t>
  </si>
  <si>
    <t>rd_expenditure_gdp</t>
  </si>
  <si>
    <t>Ülke-yıl</t>
  </si>
  <si>
    <t>Kontrol / ARI bileşeni</t>
  </si>
  <si>
    <t>https://data.worldbank.org/indicator/GB.XPD.RSDV.GD.ZS</t>
  </si>
  <si>
    <t>Savunma sanayi kapasitesi</t>
  </si>
  <si>
    <t>SIPRI Arms Industry / Top 100</t>
  </si>
  <si>
    <t>arms_industry_revenue_country</t>
  </si>
  <si>
    <t>Top 100 şirketler, ülke bazlı toplanacak</t>
  </si>
  <si>
    <t>Orta</t>
  </si>
  <si>
    <t>Robustness / ARI bileşeni</t>
  </si>
  <si>
    <t>https://www.sipri.org/databases/armsindustry</t>
  </si>
  <si>
    <t>Sıra</t>
  </si>
  <si>
    <t>Veri Seti</t>
  </si>
  <si>
    <t>İndirme / Toplama İşlemi</t>
  </si>
  <si>
    <t>Öncelik</t>
  </si>
  <si>
    <t>Durum</t>
  </si>
  <si>
    <t>Dosya Adı</t>
  </si>
  <si>
    <t>Kontrol Notu</t>
  </si>
  <si>
    <t>Sorumlu Notu</t>
  </si>
  <si>
    <t>NATO Defence Expenditure Excel</t>
  </si>
  <si>
    <t>2014-2025 Excel tablolarını indir; ana ülkeleri filtrele</t>
  </si>
  <si>
    <t>Çok yüksek</t>
  </si>
  <si>
    <t>Başlanacak</t>
  </si>
  <si>
    <t>2024-2025 değerlerinin tahmini olup olmadığı işaretlenecek</t>
  </si>
  <si>
    <t>Reporter=20 ülke, Partner=World, Flow=Export/Import, Frequency=Annual</t>
  </si>
  <si>
    <t>HS 9306 mühimmat ve parçalarını kapsar; değer USD alınacak</t>
  </si>
  <si>
    <t>SIPRI Arms Transfers</t>
  </si>
  <si>
    <t>Her ülke için toplam silah ithalatı ve ABD’den ithalat TIV değerini indir</t>
  </si>
  <si>
    <t>USDependence = ABD’den ithalat / toplam ithalat</t>
  </si>
  <si>
    <t>World Bank Manufacturing</t>
  </si>
  <si>
    <t>NV.IND.MANF.ZS kodlu imalat sanayi katma değerini çek</t>
  </si>
  <si>
    <t>Eksik yıllar varsa not düşülecek</t>
  </si>
  <si>
    <t>World Bank R&amp;D</t>
  </si>
  <si>
    <t>GB.XPD.RSDV.GD.ZS kodlu Ar-Ge harcaması/GDP verisini çek</t>
  </si>
  <si>
    <t>Eksik veri yüksek olabilir; ana model yerine kontrol/robustness</t>
  </si>
  <si>
    <t>SIPRI Arms Industry</t>
  </si>
  <si>
    <t>Top 100 şirket verilerini ülke bazında toplulaştır</t>
  </si>
  <si>
    <t>Her ülkede şirket olmayabilir; sıfır/veri yok ayrımı dikkatli yapılacak</t>
  </si>
  <si>
    <t>Threat Exposure kodlama</t>
  </si>
  <si>
    <t>EasternFlank, Post2022, Post2022×EasternFlank değişkenlerini üret</t>
  </si>
  <si>
    <t>Bu değişkenler veri indirmeden kodlanabilir</t>
  </si>
  <si>
    <t>ülke</t>
  </si>
  <si>
    <t>yıl</t>
  </si>
  <si>
    <t>savunma_harcamasi_usd</t>
  </si>
  <si>
    <t>savunma_harcamasi_gsyh_yuzde</t>
  </si>
  <si>
    <t>ekipman_harcamasi_payi</t>
  </si>
  <si>
    <t>muhimmat_ihracati_usd</t>
  </si>
  <si>
    <t>muhimmat_ithalati_usd</t>
  </si>
  <si>
    <t>muhimmat_net_ihracat_usd</t>
  </si>
  <si>
    <t>abd_silah_ithalati_tiv</t>
  </si>
  <si>
    <t>toplam_silah_ithalati_tiv</t>
  </si>
  <si>
    <t>abd_bagimlilik_orani</t>
  </si>
  <si>
    <t>imalat_sanayi_gsyh_yuzde</t>
  </si>
  <si>
    <t>savunma_sanayi_geliri_usd</t>
  </si>
  <si>
    <t>dogu_kanat</t>
  </si>
  <si>
    <t>2022_sonrasi</t>
  </si>
  <si>
    <t>2022_sonrasi_x_dogu_kanat</t>
  </si>
  <si>
    <t>muhimmat_dayaniklilik_endeksi</t>
  </si>
  <si>
    <t>butce_kapasite_acigi</t>
  </si>
  <si>
    <t>kaynak_notu</t>
  </si>
  <si>
    <t>Birleşik Krallık</t>
  </si>
  <si>
    <t>Fransa</t>
  </si>
  <si>
    <t>Almanya</t>
  </si>
  <si>
    <t>İtalya</t>
  </si>
  <si>
    <t>İspanya</t>
  </si>
  <si>
    <t>Hollanda</t>
  </si>
  <si>
    <t>Belçika</t>
  </si>
  <si>
    <t>Norveç</t>
  </si>
  <si>
    <t>Danimarka</t>
  </si>
  <si>
    <t>Finlandiya</t>
  </si>
  <si>
    <t>İsveç</t>
  </si>
  <si>
    <t>Polonya</t>
  </si>
  <si>
    <t>Romanya</t>
  </si>
  <si>
    <t>Çekya</t>
  </si>
  <si>
    <t>Slovakya</t>
  </si>
  <si>
    <t>Estonya</t>
  </si>
  <si>
    <t>Letonya</t>
  </si>
  <si>
    <t>Litvanya</t>
  </si>
  <si>
    <t>Türkiye</t>
  </si>
  <si>
    <t>Yunanistan</t>
  </si>
  <si>
    <t>Değişken</t>
  </si>
  <si>
    <t>Tür</t>
  </si>
  <si>
    <t>Operasyonel Tanım</t>
  </si>
  <si>
    <t>Birincil Kaynak</t>
  </si>
  <si>
    <t>Alternatif Kaynak</t>
  </si>
  <si>
    <t>Modelde Rolü</t>
  </si>
  <si>
    <t>Beklenen Yön</t>
  </si>
  <si>
    <t>Not</t>
  </si>
  <si>
    <t>ARI</t>
  </si>
  <si>
    <t>Bağımlı</t>
  </si>
  <si>
    <t>Mühimmat dayanıklılığı endeksi: normalize edilmiş mühimmat ticareti, ekipman payı, sanayi kapasitesi ve bağımlılık göstergeleri</t>
  </si>
  <si>
    <t>UN Comtrade + NATO + World Bank</t>
  </si>
  <si>
    <t>PCA / eşit ağırlık</t>
  </si>
  <si>
    <t>—</t>
  </si>
  <si>
    <t>Stok verisi kullanılmayacak</t>
  </si>
  <si>
    <t>defence_spending_gdp</t>
  </si>
  <si>
    <t>Bağımsız</t>
  </si>
  <si>
    <t>Savunma harcamasının GSYH’ye oranı</t>
  </si>
  <si>
    <t>NATO</t>
  </si>
  <si>
    <t>SIPRI</t>
  </si>
  <si>
    <t>Ana IV</t>
  </si>
  <si>
    <t>+</t>
  </si>
  <si>
    <t>Harcamanın kapasiteye dönüşüp dönüşmediği test edilecek</t>
  </si>
  <si>
    <t>equipment_share</t>
  </si>
  <si>
    <t>Mekanizma</t>
  </si>
  <si>
    <t>Ekipman harcamalarının toplam savunma harcamasındaki payı</t>
  </si>
  <si>
    <t>ARI bileşeni / alternatif DV</t>
  </si>
  <si>
    <t>Mühimmat değil, kapasiteye dönüşen harcama proxy’si</t>
  </si>
  <si>
    <t>munitions_exports_usd</t>
  </si>
  <si>
    <t>Bağımlı / bileşen</t>
  </si>
  <si>
    <t>HS 9306 mühimmat ihracatı</t>
  </si>
  <si>
    <t>UN Comtrade</t>
  </si>
  <si>
    <t>UNdata</t>
  </si>
  <si>
    <t>Üretim kapasitesi proxy’si</t>
  </si>
  <si>
    <t>munitions_imports_usd</t>
  </si>
  <si>
    <t>Kırılganlık</t>
  </si>
  <si>
    <t>HS 9306 mühimmat ithalatı</t>
  </si>
  <si>
    <t>Import dependence</t>
  </si>
  <si>
    <t>+/−</t>
  </si>
  <si>
    <t>Mutlak ithalat kapasite ikamesi olabilir; oranla yorumlanmalı</t>
  </si>
  <si>
    <t>us_dependence</t>
  </si>
  <si>
    <t>ABD’den silah ithalatı / toplam silah ithalatı</t>
  </si>
  <si>
    <t>ABD’ye bağımlılık</t>
  </si>
  <si>
    <t>− / karma</t>
  </si>
  <si>
    <t>Katsayı bağlama göre yorumlanacak</t>
  </si>
  <si>
    <t>manufacturing_va_gdp</t>
  </si>
  <si>
    <t>İmalat sanayi katma değerinin GSYH’ye oranı</t>
  </si>
  <si>
    <t>World Bank WDI</t>
  </si>
  <si>
    <t>OECD</t>
  </si>
  <si>
    <t>Etkileşim değişkeni</t>
  </si>
  <si>
    <t>DefenceSpending × IndustrialCapacity ana test</t>
  </si>
  <si>
    <t>Kontrol</t>
  </si>
  <si>
    <t>Ar-Ge harcamalarının GSYH’ye oranı</t>
  </si>
  <si>
    <t>Eksik veri olabilir</t>
  </si>
  <si>
    <t>eastern_flank</t>
  </si>
  <si>
    <t>Tehdit</t>
  </si>
  <si>
    <t>Rusya tehdidine yakın NATO doğu/ kuzey kanadı ülkeleri dummy</t>
  </si>
  <si>
    <t>Araştırmacı kodlaması</t>
  </si>
  <si>
    <t>Distance to Russia</t>
  </si>
  <si>
    <t>Tehdit değişkeni</t>
  </si>
  <si>
    <t>Kodlama gerekçesi metinde açıklanmalı</t>
  </si>
  <si>
    <t>post_2022</t>
  </si>
  <si>
    <t>Şok</t>
  </si>
  <si>
    <t>2022 ve sonrası için 1</t>
  </si>
  <si>
    <t>Ukrayna Savaşı sonrası dönem</t>
  </si>
  <si>
    <t>2014-2021 baz dönem</t>
  </si>
  <si>
    <t>budget_capacity_gap</t>
  </si>
  <si>
    <t>Özgün DV</t>
  </si>
  <si>
    <t>z(ΔDefenceSpending) - z(ΔARI)</t>
  </si>
  <si>
    <t>Hesaplanacak</t>
  </si>
  <si>
    <t>Özgün kırılganlık analizi</t>
  </si>
  <si>
    <t>+ kırılganlık</t>
  </si>
  <si>
    <t>Normalize edilmeden hesaplanmamalı</t>
  </si>
  <si>
    <t>NATO dosyasındaki veri</t>
  </si>
  <si>
    <t>Bu dosyadaki sayfa</t>
  </si>
  <si>
    <t>Bu dosyadaki sütun</t>
  </si>
  <si>
    <t>Defence expenditure as % of GDP</t>
  </si>
  <si>
    <t>Ülke-Yıl Veri Şablonu</t>
  </si>
  <si>
    <t>Yüzde değerini aynı biçimde gir; ör. 2,15 ya da 2.15 tutarlı olsun.</t>
  </si>
  <si>
    <t>Defence expenditure, million US dollars</t>
  </si>
  <si>
    <t>NATO milyon USD veriyorsa milyon USD olarak gir; birimi sonradan dönüştürürüz.</t>
  </si>
  <si>
    <t>Equipment expenditure as % of defence expenditure</t>
  </si>
  <si>
    <t>NATO ekipman harcaması payı; modelde kapasiteye dönüşüm proxy’si.</t>
  </si>
  <si>
    <t>Equipment expenditure, million US dollars varsa</t>
  </si>
  <si>
    <t>Şu an ayrı sütun yok</t>
  </si>
  <si>
    <t>Gerekirse ekleyeceğiz; şimdilik ekipman payı yeterli.</t>
  </si>
  <si>
    <t>savunma_harcamasi_sabit_2024_usd</t>
  </si>
  <si>
    <t>823,275,845.71</t>
  </si>
  <si>
    <t>773,913,008.11</t>
  </si>
  <si>
    <t>arge_gsyh_yuzde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</si>
</sst>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9" formatCode="0.00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0" xfId="0" applyFont="1" applyFill="1" applyAlignment="1">
      <alignment wrapText="1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wrapText="1"/>
    </xf>
    <xf numFmtId="0" fontId="3" fillId="4" borderId="0" xfId="0" applyFont="1" applyFill="1" applyAlignment="1">
      <alignment horizontal="center"/>
    </xf>
    <xf numFmtId="0" fontId="3" fillId="4" borderId="0" xfId="0" applyFont="1" applyFill="1" applyAlignment="1">
      <alignment horizontal="center" wrapText="1"/>
    </xf>
    <xf numFmtId="164" fontId="4" fillId="0" borderId="0" xfId="0" applyNumberFormat="1" applyFont="1"/>
    <xf numFmtId="10" fontId="4" fillId="0" borderId="0" xfId="0" applyNumberFormat="1" applyFont="1"/>
    <xf numFmtId="0" fontId="1" fillId="2" borderId="0" xfId="0" applyFont="1" applyFill="1" applyAlignment="1">
      <alignment horizontal="center"/>
    </xf>
    <xf numFmtId="0" fontId="0" fillId="0" borderId="0" xfId="0"/>
    <xf numFmtId="2" fontId="0" fillId="0" borderId="0" xfId="0" applyNumberFormat="1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169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6">
    <dxf>
      <numFmt numFmtId="1" formatCode="0"/>
    </dxf>
    <dxf>
      <numFmt numFmtId="1" formatCode="0"/>
    </dxf>
    <dxf>
      <numFmt numFmtId="169" formatCode="0.000"/>
    </dxf>
    <dxf>
      <numFmt numFmtId="2" formatCode="0.0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KaynakHaritasi" displayName="KaynakHaritasi" ref="A1:H8">
  <tableColumns count="8">
    <tableColumn id="1" xr3:uid="{00000000-0010-0000-0000-000001000000}" name="Kaynak Grubu"/>
    <tableColumn id="2" xr3:uid="{00000000-0010-0000-0000-000002000000}" name="Ana Kaynak"/>
    <tableColumn id="3" xr3:uid="{00000000-0010-0000-0000-000003000000}" name="Değişkenler"/>
    <tableColumn id="4" xr3:uid="{00000000-0010-0000-0000-000004000000}" name="Frekans"/>
    <tableColumn id="5" xr3:uid="{00000000-0010-0000-0000-000005000000}" name="Kapsam"/>
    <tableColumn id="6" xr3:uid="{00000000-0010-0000-0000-000006000000}" name="Güvenilirlik"/>
    <tableColumn id="7" xr3:uid="{00000000-0010-0000-0000-000007000000}" name="Kullanım Rolü"/>
    <tableColumn id="8" xr3:uid="{00000000-0010-0000-0000-000008000000}" name="URL / Erişim Notu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IndirmeKontrol" displayName="IndirmeKontrol" ref="A1:H8">
  <tableColumns count="8">
    <tableColumn id="1" xr3:uid="{00000000-0010-0000-0100-000001000000}" name="Sıra"/>
    <tableColumn id="2" xr3:uid="{00000000-0010-0000-0100-000002000000}" name="Veri Seti"/>
    <tableColumn id="3" xr3:uid="{00000000-0010-0000-0100-000003000000}" name="İndirme / Toplama İşlemi"/>
    <tableColumn id="4" xr3:uid="{00000000-0010-0000-0100-000004000000}" name="Öncelik"/>
    <tableColumn id="5" xr3:uid="{00000000-0010-0000-0100-000005000000}" name="Durum"/>
    <tableColumn id="6" xr3:uid="{00000000-0010-0000-0100-000006000000}" name="Dosya Adı"/>
    <tableColumn id="7" xr3:uid="{00000000-0010-0000-0100-000007000000}" name="Kontrol Notu"/>
    <tableColumn id="8" xr3:uid="{00000000-0010-0000-0100-000008000000}" name="Sorumlu No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lkeYilSablon" displayName="UlkeYilSablon" ref="A1:T221">
  <tableColumns count="20">
    <tableColumn id="1" xr3:uid="{00000000-0010-0000-0200-000001000000}" name="ülke"/>
    <tableColumn id="2" xr3:uid="{00000000-0010-0000-0200-000002000000}" name="yıl"/>
    <tableColumn id="3" xr3:uid="{00000000-0010-0000-0200-000003000000}" name="savunma_harcamasi_sabit_2024_usd"/>
    <tableColumn id="4" xr3:uid="{00000000-0010-0000-0200-000004000000}" name="savunma_harcamasi_gsyh_yuzde"/>
    <tableColumn id="5" xr3:uid="{00000000-0010-0000-0200-000005000000}" name="ekipman_harcamasi_payi"/>
    <tableColumn id="6" xr3:uid="{00000000-0010-0000-0200-000006000000}" name="muhimmat_ihracati_usd" dataDxfId="5"/>
    <tableColumn id="7" xr3:uid="{00000000-0010-0000-0200-000007000000}" name="muhimmat_ithalati_usd" dataDxfId="4"/>
    <tableColumn id="8" xr3:uid="{00000000-0010-0000-0200-000008000000}" name="muhimmat_net_ihracat_usd"/>
    <tableColumn id="9" xr3:uid="{00000000-0010-0000-0200-000009000000}" name="abd_silah_ithalati_tiv" dataDxfId="1"/>
    <tableColumn id="10" xr3:uid="{00000000-0010-0000-0200-00000A000000}" name="toplam_silah_ithalati_tiv" dataDxfId="0"/>
    <tableColumn id="11" xr3:uid="{00000000-0010-0000-0200-00000B000000}" name="abd_bagimlilik_orani"/>
    <tableColumn id="12" xr3:uid="{00000000-0010-0000-0200-00000C000000}" name="imalat_sanayi_gsyh_yuzde" dataDxfId="3"/>
    <tableColumn id="13" xr3:uid="{00000000-0010-0000-0200-00000D000000}" name="arge_gsyh_yuzde" dataDxfId="2"/>
    <tableColumn id="14" xr3:uid="{00000000-0010-0000-0200-00000E000000}" name="savunma_sanayi_geliri_usd"/>
    <tableColumn id="15" xr3:uid="{00000000-0010-0000-0200-00000F000000}" name="dogu_kanat"/>
    <tableColumn id="16" xr3:uid="{00000000-0010-0000-0200-000010000000}" name="2022_sonrasi"/>
    <tableColumn id="17" xr3:uid="{00000000-0010-0000-0200-000011000000}" name="2022_sonrasi_x_dogu_kanat"/>
    <tableColumn id="18" xr3:uid="{00000000-0010-0000-0200-000012000000}" name="muhimmat_dayaniklilik_endeksi"/>
    <tableColumn id="19" xr3:uid="{00000000-0010-0000-0200-000013000000}" name="butce_kapasite_acigi"/>
    <tableColumn id="20" xr3:uid="{00000000-0010-0000-0200-000014000000}" name="kaynak_notu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DegiskenKaynak" displayName="DegiskenKaynak" ref="A1:H12">
  <tableColumns count="8">
    <tableColumn id="1" xr3:uid="{00000000-0010-0000-0300-000001000000}" name="Değişken"/>
    <tableColumn id="2" xr3:uid="{00000000-0010-0000-0300-000002000000}" name="Tür"/>
    <tableColumn id="3" xr3:uid="{00000000-0010-0000-0300-000003000000}" name="Operasyonel Tanım"/>
    <tableColumn id="4" xr3:uid="{00000000-0010-0000-0300-000004000000}" name="Birincil Kaynak"/>
    <tableColumn id="5" xr3:uid="{00000000-0010-0000-0300-000005000000}" name="Alternatif Kaynak"/>
    <tableColumn id="6" xr3:uid="{00000000-0010-0000-0300-000006000000}" name="Modelde Rolü"/>
    <tableColumn id="7" xr3:uid="{00000000-0010-0000-0300-000007000000}" name="Beklenen Yön"/>
    <tableColumn id="8" xr3:uid="{00000000-0010-0000-0300-000008000000}" name="No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8"/>
  <sheetViews>
    <sheetView workbookViewId="0">
      <selection sqref="A1:H1"/>
    </sheetView>
  </sheetViews>
  <sheetFormatPr baseColWidth="10" defaultColWidth="8.83203125" defaultRowHeight="14"/>
  <cols>
    <col min="1" max="2" width="22" customWidth="1"/>
    <col min="3" max="3" width="50" customWidth="1"/>
    <col min="4" max="8" width="22" customWidth="1"/>
  </cols>
  <sheetData>
    <row r="1" spans="1:8" ht="18">
      <c r="A1" s="8" t="s">
        <v>0</v>
      </c>
      <c r="B1" s="9"/>
      <c r="C1" s="9"/>
      <c r="D1" s="9"/>
      <c r="E1" s="9"/>
      <c r="F1" s="9"/>
      <c r="G1" s="9"/>
      <c r="H1" s="9"/>
    </row>
    <row r="3" spans="1:8" ht="31">
      <c r="A3" s="1" t="s">
        <v>1</v>
      </c>
      <c r="B3" s="2" t="s">
        <v>2</v>
      </c>
      <c r="C3" s="2" t="s">
        <v>3</v>
      </c>
      <c r="D3" s="2"/>
      <c r="E3" s="2"/>
      <c r="F3" s="2"/>
      <c r="G3" s="2"/>
      <c r="H3" s="2"/>
    </row>
    <row r="4" spans="1:8" ht="31">
      <c r="A4" s="1" t="s">
        <v>4</v>
      </c>
      <c r="B4" s="2" t="s">
        <v>5</v>
      </c>
      <c r="C4" s="2" t="s">
        <v>6</v>
      </c>
      <c r="D4" s="2"/>
      <c r="E4" s="2"/>
      <c r="F4" s="2"/>
      <c r="G4" s="2"/>
      <c r="H4" s="2"/>
    </row>
    <row r="5" spans="1:8" ht="31">
      <c r="A5" s="1" t="s">
        <v>7</v>
      </c>
      <c r="B5" s="2" t="s">
        <v>8</v>
      </c>
      <c r="C5" s="2" t="s">
        <v>9</v>
      </c>
      <c r="D5" s="2"/>
      <c r="E5" s="2"/>
      <c r="F5" s="2"/>
      <c r="G5" s="2"/>
      <c r="H5" s="2"/>
    </row>
    <row r="6" spans="1:8" ht="31">
      <c r="A6" s="1" t="s">
        <v>10</v>
      </c>
      <c r="B6" s="2" t="s">
        <v>11</v>
      </c>
      <c r="C6" s="2" t="s">
        <v>12</v>
      </c>
      <c r="D6" s="2"/>
      <c r="E6" s="2"/>
      <c r="F6" s="2"/>
      <c r="G6" s="2"/>
      <c r="H6" s="2"/>
    </row>
    <row r="7" spans="1:8" ht="31">
      <c r="A7" s="1" t="s">
        <v>13</v>
      </c>
      <c r="B7" s="2" t="s">
        <v>14</v>
      </c>
      <c r="C7" s="2" t="s">
        <v>15</v>
      </c>
      <c r="D7" s="2"/>
      <c r="E7" s="2"/>
      <c r="F7" s="2"/>
      <c r="G7" s="2"/>
      <c r="H7" s="2"/>
    </row>
    <row r="8" spans="1:8" ht="16">
      <c r="A8" s="1" t="s">
        <v>16</v>
      </c>
      <c r="B8" s="2" t="s">
        <v>17</v>
      </c>
      <c r="C8" s="2" t="s">
        <v>18</v>
      </c>
      <c r="D8" s="2"/>
      <c r="E8" s="2"/>
      <c r="F8" s="2"/>
      <c r="G8" s="2"/>
      <c r="H8" s="2"/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8"/>
  <sheetViews>
    <sheetView workbookViewId="0"/>
  </sheetViews>
  <sheetFormatPr baseColWidth="10" defaultColWidth="8.83203125" defaultRowHeight="14"/>
  <cols>
    <col min="1" max="1" width="22" customWidth="1"/>
    <col min="2" max="2" width="30" customWidth="1"/>
    <col min="3" max="3" width="42" customWidth="1"/>
    <col min="4" max="4" width="14" customWidth="1"/>
    <col min="5" max="5" width="22" customWidth="1"/>
    <col min="6" max="6" width="18" customWidth="1"/>
    <col min="7" max="7" width="22" customWidth="1"/>
    <col min="8" max="8" width="60" customWidth="1"/>
  </cols>
  <sheetData>
    <row r="1" spans="1:8" ht="16">
      <c r="A1" s="3" t="s">
        <v>19</v>
      </c>
      <c r="B1" s="3" t="s">
        <v>20</v>
      </c>
      <c r="C1" s="3" t="s">
        <v>21</v>
      </c>
      <c r="D1" s="3" t="s">
        <v>4</v>
      </c>
      <c r="E1" s="3" t="s">
        <v>22</v>
      </c>
      <c r="F1" s="3" t="s">
        <v>23</v>
      </c>
      <c r="G1" s="3" t="s">
        <v>24</v>
      </c>
      <c r="H1" s="3" t="s">
        <v>25</v>
      </c>
    </row>
    <row r="2" spans="1:8" ht="30">
      <c r="A2" s="2" t="s">
        <v>26</v>
      </c>
      <c r="B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</row>
    <row r="3" spans="1:8" ht="30">
      <c r="A3" s="2" t="s">
        <v>34</v>
      </c>
      <c r="B3" s="2" t="s">
        <v>35</v>
      </c>
      <c r="C3" s="2" t="s">
        <v>36</v>
      </c>
      <c r="D3" s="2" t="s">
        <v>29</v>
      </c>
      <c r="E3" s="2" t="s">
        <v>37</v>
      </c>
      <c r="F3" s="2" t="s">
        <v>31</v>
      </c>
      <c r="G3" s="2" t="s">
        <v>38</v>
      </c>
      <c r="H3" s="2" t="s">
        <v>39</v>
      </c>
    </row>
    <row r="4" spans="1:8" ht="30">
      <c r="A4" s="2" t="s">
        <v>40</v>
      </c>
      <c r="B4" s="2" t="s">
        <v>41</v>
      </c>
      <c r="C4" s="2" t="s">
        <v>42</v>
      </c>
      <c r="D4" s="2" t="s">
        <v>29</v>
      </c>
      <c r="E4" s="2" t="s">
        <v>43</v>
      </c>
      <c r="F4" s="2" t="s">
        <v>44</v>
      </c>
      <c r="G4" s="2" t="s">
        <v>45</v>
      </c>
      <c r="H4" s="2" t="s">
        <v>46</v>
      </c>
    </row>
    <row r="5" spans="1:8" ht="30">
      <c r="A5" s="2" t="s">
        <v>47</v>
      </c>
      <c r="B5" s="2" t="s">
        <v>48</v>
      </c>
      <c r="C5" s="2" t="s">
        <v>49</v>
      </c>
      <c r="D5" s="2" t="s">
        <v>50</v>
      </c>
      <c r="E5" s="2" t="s">
        <v>51</v>
      </c>
      <c r="F5" s="2" t="s">
        <v>31</v>
      </c>
      <c r="G5" s="2" t="s">
        <v>52</v>
      </c>
      <c r="H5" s="2" t="s">
        <v>53</v>
      </c>
    </row>
    <row r="6" spans="1:8" ht="30">
      <c r="A6" s="2" t="s">
        <v>54</v>
      </c>
      <c r="B6" s="2" t="s">
        <v>55</v>
      </c>
      <c r="C6" s="2" t="s">
        <v>56</v>
      </c>
      <c r="D6" s="2" t="s">
        <v>29</v>
      </c>
      <c r="E6" s="2" t="s">
        <v>57</v>
      </c>
      <c r="F6" s="2" t="s">
        <v>31</v>
      </c>
      <c r="G6" s="2" t="s">
        <v>58</v>
      </c>
      <c r="H6" s="2" t="s">
        <v>59</v>
      </c>
    </row>
    <row r="7" spans="1:8" ht="30">
      <c r="A7" s="2" t="s">
        <v>60</v>
      </c>
      <c r="B7" s="2" t="s">
        <v>61</v>
      </c>
      <c r="C7" s="2" t="s">
        <v>62</v>
      </c>
      <c r="D7" s="2" t="s">
        <v>29</v>
      </c>
      <c r="E7" s="2" t="s">
        <v>63</v>
      </c>
      <c r="F7" s="2" t="s">
        <v>44</v>
      </c>
      <c r="G7" s="2" t="s">
        <v>64</v>
      </c>
      <c r="H7" s="2" t="s">
        <v>65</v>
      </c>
    </row>
    <row r="8" spans="1:8" ht="30">
      <c r="A8" s="2" t="s">
        <v>66</v>
      </c>
      <c r="B8" s="2" t="s">
        <v>67</v>
      </c>
      <c r="C8" s="2" t="s">
        <v>68</v>
      </c>
      <c r="D8" s="2" t="s">
        <v>29</v>
      </c>
      <c r="E8" s="2" t="s">
        <v>69</v>
      </c>
      <c r="F8" s="2" t="s">
        <v>70</v>
      </c>
      <c r="G8" s="2" t="s">
        <v>71</v>
      </c>
      <c r="H8" s="2" t="s">
        <v>72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8"/>
  <sheetViews>
    <sheetView workbookViewId="0"/>
  </sheetViews>
  <sheetFormatPr baseColWidth="10" defaultColWidth="8.83203125" defaultRowHeight="14"/>
  <cols>
    <col min="1" max="1" width="8" customWidth="1"/>
    <col min="2" max="2" width="25" customWidth="1"/>
    <col min="3" max="3" width="55" customWidth="1"/>
    <col min="4" max="5" width="15" customWidth="1"/>
    <col min="6" max="6" width="22" customWidth="1"/>
    <col min="7" max="7" width="55" customWidth="1"/>
    <col min="8" max="8" width="30" customWidth="1"/>
  </cols>
  <sheetData>
    <row r="1" spans="1:8" ht="16">
      <c r="A1" s="3" t="s">
        <v>73</v>
      </c>
      <c r="B1" s="3" t="s">
        <v>74</v>
      </c>
      <c r="C1" s="3" t="s">
        <v>75</v>
      </c>
      <c r="D1" s="3" t="s">
        <v>76</v>
      </c>
      <c r="E1" s="3" t="s">
        <v>77</v>
      </c>
      <c r="F1" s="3" t="s">
        <v>78</v>
      </c>
      <c r="G1" s="3" t="s">
        <v>79</v>
      </c>
      <c r="H1" s="3" t="s">
        <v>80</v>
      </c>
    </row>
    <row r="2" spans="1:8" ht="30">
      <c r="A2" s="2">
        <v>1</v>
      </c>
      <c r="B2" s="2" t="s">
        <v>81</v>
      </c>
      <c r="C2" s="2" t="s">
        <v>82</v>
      </c>
      <c r="D2" s="2" t="s">
        <v>83</v>
      </c>
      <c r="E2" s="2" t="s">
        <v>84</v>
      </c>
      <c r="F2" s="2"/>
      <c r="G2" s="2" t="s">
        <v>85</v>
      </c>
      <c r="H2" s="2"/>
    </row>
    <row r="3" spans="1:8" ht="30">
      <c r="A3" s="2">
        <v>2</v>
      </c>
      <c r="B3" s="2" t="s">
        <v>41</v>
      </c>
      <c r="C3" s="2" t="s">
        <v>86</v>
      </c>
      <c r="D3" s="2" t="s">
        <v>83</v>
      </c>
      <c r="E3" s="2" t="s">
        <v>84</v>
      </c>
      <c r="F3" s="2"/>
      <c r="G3" s="2" t="s">
        <v>87</v>
      </c>
      <c r="H3" s="2"/>
    </row>
    <row r="4" spans="1:8" ht="30">
      <c r="A4" s="2">
        <v>3</v>
      </c>
      <c r="B4" s="2" t="s">
        <v>88</v>
      </c>
      <c r="C4" s="2" t="s">
        <v>89</v>
      </c>
      <c r="D4" s="2" t="s">
        <v>83</v>
      </c>
      <c r="E4" s="2" t="s">
        <v>84</v>
      </c>
      <c r="F4" s="2"/>
      <c r="G4" s="2" t="s">
        <v>90</v>
      </c>
      <c r="H4" s="2"/>
    </row>
    <row r="5" spans="1:8" ht="15">
      <c r="A5" s="2">
        <v>4</v>
      </c>
      <c r="B5" s="2" t="s">
        <v>91</v>
      </c>
      <c r="C5" s="2" t="s">
        <v>92</v>
      </c>
      <c r="D5" s="2" t="s">
        <v>31</v>
      </c>
      <c r="E5" s="2" t="s">
        <v>84</v>
      </c>
      <c r="F5" s="2"/>
      <c r="G5" s="2" t="s">
        <v>93</v>
      </c>
      <c r="H5" s="2"/>
    </row>
    <row r="6" spans="1:8" ht="15">
      <c r="A6" s="2">
        <v>5</v>
      </c>
      <c r="B6" s="2" t="s">
        <v>94</v>
      </c>
      <c r="C6" s="2" t="s">
        <v>95</v>
      </c>
      <c r="D6" s="2" t="s">
        <v>70</v>
      </c>
      <c r="E6" s="2" t="s">
        <v>84</v>
      </c>
      <c r="F6" s="2"/>
      <c r="G6" s="2" t="s">
        <v>96</v>
      </c>
      <c r="H6" s="2"/>
    </row>
    <row r="7" spans="1:8" ht="30">
      <c r="A7" s="2">
        <v>6</v>
      </c>
      <c r="B7" s="2" t="s">
        <v>97</v>
      </c>
      <c r="C7" s="2" t="s">
        <v>98</v>
      </c>
      <c r="D7" s="2" t="s">
        <v>70</v>
      </c>
      <c r="E7" s="2" t="s">
        <v>84</v>
      </c>
      <c r="F7" s="2"/>
      <c r="G7" s="2" t="s">
        <v>99</v>
      </c>
      <c r="H7" s="2"/>
    </row>
    <row r="8" spans="1:8" ht="15">
      <c r="A8" s="2">
        <v>7</v>
      </c>
      <c r="B8" s="2" t="s">
        <v>100</v>
      </c>
      <c r="C8" s="2" t="s">
        <v>101</v>
      </c>
      <c r="D8" s="2" t="s">
        <v>31</v>
      </c>
      <c r="E8" s="2" t="s">
        <v>84</v>
      </c>
      <c r="F8" s="2"/>
      <c r="G8" s="2" t="s">
        <v>102</v>
      </c>
      <c r="H8" s="2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21"/>
  <sheetViews>
    <sheetView tabSelected="1" topLeftCell="M1" workbookViewId="0">
      <selection activeCell="P35" sqref="P35"/>
    </sheetView>
  </sheetViews>
  <sheetFormatPr baseColWidth="10" defaultColWidth="8.83203125" defaultRowHeight="14"/>
  <cols>
    <col min="1" max="1" width="11" customWidth="1"/>
    <col min="2" max="2" width="5.1640625" bestFit="1" customWidth="1"/>
    <col min="3" max="4" width="33.5" customWidth="1"/>
    <col min="5" max="5" width="23.5" customWidth="1"/>
    <col min="6" max="6" width="22.6640625" customWidth="1"/>
    <col min="7" max="7" width="22.33203125" customWidth="1"/>
    <col min="8" max="8" width="25.83203125" customWidth="1"/>
    <col min="9" max="9" width="20.33203125" customWidth="1"/>
    <col min="10" max="10" width="23.1640625" customWidth="1"/>
    <col min="11" max="11" width="20" customWidth="1"/>
    <col min="12" max="12" width="28.83203125" customWidth="1"/>
    <col min="13" max="13" width="31.83203125" customWidth="1"/>
    <col min="14" max="14" width="31.6640625" customWidth="1"/>
    <col min="15" max="15" width="12.1640625" customWidth="1"/>
    <col min="16" max="16" width="13.5" customWidth="1"/>
    <col min="17" max="17" width="26" customWidth="1"/>
    <col min="18" max="18" width="29.1640625" customWidth="1"/>
    <col min="19" max="19" width="19.83203125" customWidth="1"/>
    <col min="20" max="20" width="13.1640625" customWidth="1"/>
  </cols>
  <sheetData>
    <row r="1" spans="1:20" ht="32">
      <c r="A1" s="5" t="s">
        <v>103</v>
      </c>
      <c r="B1" s="5" t="s">
        <v>104</v>
      </c>
      <c r="C1" s="5" t="s">
        <v>228</v>
      </c>
      <c r="D1" s="5" t="s">
        <v>106</v>
      </c>
      <c r="E1" s="5" t="s">
        <v>107</v>
      </c>
      <c r="F1" s="5" t="s">
        <v>108</v>
      </c>
      <c r="G1" s="5" t="s">
        <v>109</v>
      </c>
      <c r="H1" s="5" t="s">
        <v>110</v>
      </c>
      <c r="I1" s="5" t="s">
        <v>111</v>
      </c>
      <c r="J1" s="5" t="s">
        <v>112</v>
      </c>
      <c r="K1" s="5" t="s">
        <v>113</v>
      </c>
      <c r="L1" s="5" t="s">
        <v>114</v>
      </c>
      <c r="M1" t="s">
        <v>231</v>
      </c>
      <c r="N1" s="5" t="s">
        <v>115</v>
      </c>
      <c r="O1" s="5" t="s">
        <v>116</v>
      </c>
      <c r="P1" s="5" t="s">
        <v>117</v>
      </c>
      <c r="Q1" s="5" t="s">
        <v>118</v>
      </c>
      <c r="R1" s="5" t="s">
        <v>119</v>
      </c>
      <c r="S1" s="5" t="s">
        <v>120</v>
      </c>
      <c r="T1" s="5" t="s">
        <v>121</v>
      </c>
    </row>
    <row r="2" spans="1:20" ht="30">
      <c r="A2" s="2" t="s">
        <v>122</v>
      </c>
      <c r="B2" s="2">
        <v>2014</v>
      </c>
      <c r="C2" s="6">
        <v>69339.029155913668</v>
      </c>
      <c r="D2" s="7">
        <v>2.1698621869176871E-2</v>
      </c>
      <c r="E2" s="10">
        <v>22.82</v>
      </c>
      <c r="F2" s="11">
        <v>90367096</v>
      </c>
      <c r="G2" s="11">
        <v>79792988</v>
      </c>
      <c r="H2" s="2">
        <f t="shared" ref="H2:H65" si="0">F2-G2</f>
        <v>10574108</v>
      </c>
      <c r="I2" s="15">
        <v>197</v>
      </c>
      <c r="J2" s="15">
        <v>217</v>
      </c>
      <c r="K2" s="2">
        <f t="shared" ref="K2:K65" si="1">IFERROR(I2/J2,"")</f>
        <v>0.90783410138248843</v>
      </c>
      <c r="L2" s="10">
        <v>9.4408410157295801</v>
      </c>
      <c r="M2" s="14">
        <v>2.2648799999999998</v>
      </c>
      <c r="N2" s="2"/>
      <c r="O2" s="2">
        <v>0</v>
      </c>
      <c r="P2" s="2">
        <v>0</v>
      </c>
      <c r="Q2" s="2">
        <f t="shared" ref="Q2:Q65" si="2">O2*P2</f>
        <v>0</v>
      </c>
      <c r="R2" s="2"/>
      <c r="S2" s="2"/>
      <c r="T2" s="2"/>
    </row>
    <row r="3" spans="1:20" ht="30">
      <c r="A3" s="2" t="s">
        <v>122</v>
      </c>
      <c r="B3" s="2">
        <v>2015</v>
      </c>
      <c r="C3" s="6">
        <v>66673.576448775362</v>
      </c>
      <c r="D3" s="7">
        <v>2.0366178462082263E-2</v>
      </c>
      <c r="E3" s="10">
        <v>21.75</v>
      </c>
      <c r="F3" s="11">
        <v>108287244</v>
      </c>
      <c r="G3" s="11">
        <v>68883946</v>
      </c>
      <c r="H3" s="2">
        <f t="shared" si="0"/>
        <v>39403298</v>
      </c>
      <c r="I3" s="15">
        <v>372</v>
      </c>
      <c r="J3" s="15">
        <v>424</v>
      </c>
      <c r="K3" s="2">
        <f t="shared" si="1"/>
        <v>0.87735849056603776</v>
      </c>
      <c r="L3" s="10">
        <v>9.3845175558709109</v>
      </c>
      <c r="M3" s="14">
        <v>2.2756599999999998</v>
      </c>
      <c r="N3" s="2"/>
      <c r="O3" s="2">
        <v>0</v>
      </c>
      <c r="P3" s="2">
        <v>0</v>
      </c>
      <c r="Q3" s="2">
        <f t="shared" si="2"/>
        <v>0</v>
      </c>
      <c r="R3" s="2"/>
      <c r="S3" s="2"/>
      <c r="T3" s="2"/>
    </row>
    <row r="4" spans="1:20" ht="30">
      <c r="A4" s="2" t="s">
        <v>122</v>
      </c>
      <c r="B4" s="2">
        <v>2016</v>
      </c>
      <c r="C4" s="6">
        <v>66441.138190496407</v>
      </c>
      <c r="D4" s="7">
        <v>1.9715134838795764E-2</v>
      </c>
      <c r="E4" s="10">
        <v>21.24</v>
      </c>
      <c r="F4" s="11">
        <v>192975059</v>
      </c>
      <c r="G4" s="11">
        <v>57105945</v>
      </c>
      <c r="H4" s="2">
        <f t="shared" si="0"/>
        <v>135869114</v>
      </c>
      <c r="I4" s="15">
        <v>219</v>
      </c>
      <c r="J4" s="15">
        <v>288</v>
      </c>
      <c r="K4" s="2">
        <f t="shared" si="1"/>
        <v>0.76041666666666663</v>
      </c>
      <c r="L4" s="10">
        <v>9.1316894084314502</v>
      </c>
      <c r="M4" s="14">
        <v>2.3205100000000001</v>
      </c>
      <c r="N4" s="2"/>
      <c r="O4" s="2">
        <v>0</v>
      </c>
      <c r="P4" s="2">
        <v>0</v>
      </c>
      <c r="Q4" s="2">
        <f t="shared" si="2"/>
        <v>0</v>
      </c>
      <c r="R4" s="2"/>
      <c r="S4" s="2"/>
      <c r="T4" s="2"/>
    </row>
    <row r="5" spans="1:20" ht="30">
      <c r="A5" s="2" t="s">
        <v>122</v>
      </c>
      <c r="B5" s="2">
        <v>2017</v>
      </c>
      <c r="C5" s="6">
        <v>66562.525716342207</v>
      </c>
      <c r="D5" s="7">
        <v>1.9363233839812855E-2</v>
      </c>
      <c r="E5" s="10">
        <v>22.29</v>
      </c>
      <c r="F5" s="11">
        <v>176768767.92699999</v>
      </c>
      <c r="G5" s="11">
        <v>75782836.707000002</v>
      </c>
      <c r="H5" s="2">
        <f t="shared" si="0"/>
        <v>100985931.21999998</v>
      </c>
      <c r="I5" s="15">
        <v>755</v>
      </c>
      <c r="J5" s="15">
        <v>1002</v>
      </c>
      <c r="K5" s="2">
        <f t="shared" si="1"/>
        <v>0.75349301397205593</v>
      </c>
      <c r="L5" s="10">
        <v>9.0423426799833297</v>
      </c>
      <c r="M5" s="14">
        <v>2.3260200000000002</v>
      </c>
      <c r="N5" s="2"/>
      <c r="O5" s="2">
        <v>0</v>
      </c>
      <c r="P5" s="2">
        <v>0</v>
      </c>
      <c r="Q5" s="2">
        <f t="shared" si="2"/>
        <v>0</v>
      </c>
      <c r="R5" s="2"/>
      <c r="S5" s="2"/>
      <c r="T5" s="2"/>
    </row>
    <row r="6" spans="1:20" ht="30">
      <c r="A6" s="2" t="s">
        <v>122</v>
      </c>
      <c r="B6" s="2">
        <v>2018</v>
      </c>
      <c r="C6" s="6">
        <v>67063.507101258656</v>
      </c>
      <c r="D6" s="7">
        <v>1.9273135107082052E-2</v>
      </c>
      <c r="E6" s="10">
        <v>22.25</v>
      </c>
      <c r="F6" s="11">
        <v>67626711.591999993</v>
      </c>
      <c r="G6" s="11">
        <v>82218749.581</v>
      </c>
      <c r="H6" s="2">
        <f t="shared" si="0"/>
        <v>-14592037.989000008</v>
      </c>
      <c r="I6" s="15">
        <v>140</v>
      </c>
      <c r="J6" s="15">
        <v>463</v>
      </c>
      <c r="K6" s="2">
        <f t="shared" si="1"/>
        <v>0.30237580993520519</v>
      </c>
      <c r="L6" s="10">
        <v>9.01545847936897</v>
      </c>
      <c r="M6" s="14">
        <v>2.7088899999999998</v>
      </c>
      <c r="N6" s="2"/>
      <c r="O6" s="2">
        <v>0</v>
      </c>
      <c r="P6" s="2">
        <v>0</v>
      </c>
      <c r="Q6" s="2">
        <f t="shared" si="2"/>
        <v>0</v>
      </c>
      <c r="R6" s="2"/>
      <c r="S6" s="2"/>
      <c r="T6" s="2"/>
    </row>
    <row r="7" spans="1:20" ht="30">
      <c r="A7" s="2" t="s">
        <v>122</v>
      </c>
      <c r="B7" s="2">
        <v>2019</v>
      </c>
      <c r="C7" s="6">
        <v>69849.363213009201</v>
      </c>
      <c r="D7" s="7">
        <v>1.9684761520505682E-2</v>
      </c>
      <c r="E7" s="10">
        <v>22.85</v>
      </c>
      <c r="F7" s="11">
        <v>59240113.634999998</v>
      </c>
      <c r="G7" s="11">
        <v>93140637.777999997</v>
      </c>
      <c r="H7" s="2">
        <f t="shared" si="0"/>
        <v>-33900524.142999999</v>
      </c>
      <c r="I7" s="15">
        <v>245</v>
      </c>
      <c r="J7" s="15">
        <v>402</v>
      </c>
      <c r="K7" s="2">
        <f t="shared" si="1"/>
        <v>0.60945273631840791</v>
      </c>
      <c r="L7" s="10">
        <v>8.98151366135499</v>
      </c>
      <c r="M7" s="14">
        <v>2.6707000000000001</v>
      </c>
      <c r="N7" s="2"/>
      <c r="O7" s="2">
        <v>0</v>
      </c>
      <c r="P7" s="2">
        <v>0</v>
      </c>
      <c r="Q7" s="2">
        <f t="shared" si="2"/>
        <v>0</v>
      </c>
      <c r="R7" s="2"/>
      <c r="S7" s="2"/>
      <c r="T7" s="2"/>
    </row>
    <row r="8" spans="1:20" ht="30">
      <c r="A8" s="2" t="s">
        <v>122</v>
      </c>
      <c r="B8" s="2">
        <v>2020</v>
      </c>
      <c r="C8" s="6">
        <v>70958.870289736515</v>
      </c>
      <c r="D8" s="7">
        <v>2.1414233404872175E-2</v>
      </c>
      <c r="E8" s="10">
        <v>23.83</v>
      </c>
      <c r="F8" s="11">
        <v>77788303.572999999</v>
      </c>
      <c r="G8" s="11">
        <v>63323036.075999998</v>
      </c>
      <c r="H8" s="2">
        <f t="shared" si="0"/>
        <v>14465267.497000001</v>
      </c>
      <c r="I8" s="15">
        <v>598</v>
      </c>
      <c r="J8" s="15">
        <v>635</v>
      </c>
      <c r="K8" s="2">
        <f t="shared" si="1"/>
        <v>0.94173228346456694</v>
      </c>
      <c r="L8" s="10">
        <v>9.0818084265220804</v>
      </c>
      <c r="M8" s="14">
        <v>2.9399299999999999</v>
      </c>
      <c r="N8" s="2"/>
      <c r="O8" s="2">
        <v>0</v>
      </c>
      <c r="P8" s="2">
        <v>0</v>
      </c>
      <c r="Q8" s="2">
        <f t="shared" si="2"/>
        <v>0</v>
      </c>
      <c r="R8" s="2"/>
      <c r="S8" s="2"/>
      <c r="T8" s="2"/>
    </row>
    <row r="9" spans="1:20" ht="30">
      <c r="A9" s="2" t="s">
        <v>122</v>
      </c>
      <c r="B9" s="2">
        <v>2021</v>
      </c>
      <c r="C9" s="6">
        <v>72051.035691899306</v>
      </c>
      <c r="D9" s="7">
        <v>2.0391788845251037E-2</v>
      </c>
      <c r="E9" s="10">
        <v>29.5</v>
      </c>
      <c r="F9" s="11">
        <v>55430293.068999998</v>
      </c>
      <c r="G9" s="11">
        <v>71124541.669</v>
      </c>
      <c r="H9" s="2">
        <f t="shared" si="0"/>
        <v>-15694248.600000001</v>
      </c>
      <c r="I9" s="15">
        <v>868</v>
      </c>
      <c r="J9" s="15">
        <v>886</v>
      </c>
      <c r="K9" s="2">
        <f t="shared" si="1"/>
        <v>0.97968397291196385</v>
      </c>
      <c r="L9" s="10">
        <v>8.7328192083876495</v>
      </c>
      <c r="M9" s="14">
        <v>2.89968</v>
      </c>
      <c r="N9" s="2"/>
      <c r="O9" s="2">
        <v>0</v>
      </c>
      <c r="P9" s="2">
        <v>0</v>
      </c>
      <c r="Q9" s="2">
        <f t="shared" si="2"/>
        <v>0</v>
      </c>
      <c r="R9" s="2"/>
      <c r="S9" s="2"/>
      <c r="T9" s="2"/>
    </row>
    <row r="10" spans="1:20" ht="30">
      <c r="A10" s="2" t="s">
        <v>122</v>
      </c>
      <c r="B10" s="2">
        <v>2022</v>
      </c>
      <c r="C10" s="6">
        <v>73189.310425556789</v>
      </c>
      <c r="D10" s="7">
        <v>2.0117668908714935E-2</v>
      </c>
      <c r="E10" s="10">
        <v>31.42</v>
      </c>
      <c r="F10" s="11">
        <v>67523863.606000006</v>
      </c>
      <c r="G10" s="11">
        <v>77734920.875</v>
      </c>
      <c r="H10" s="2">
        <f t="shared" si="0"/>
        <v>-10211057.268999994</v>
      </c>
      <c r="I10" s="15">
        <v>768</v>
      </c>
      <c r="J10" s="15">
        <v>859</v>
      </c>
      <c r="K10" s="2">
        <f t="shared" si="1"/>
        <v>0.89406286379511057</v>
      </c>
      <c r="L10" s="10">
        <v>7.9613351523025102</v>
      </c>
      <c r="M10" s="14">
        <v>2.75224</v>
      </c>
      <c r="N10" s="2"/>
      <c r="O10" s="2">
        <v>0</v>
      </c>
      <c r="P10" s="2">
        <v>1</v>
      </c>
      <c r="Q10" s="2">
        <f t="shared" si="2"/>
        <v>0</v>
      </c>
      <c r="R10" s="2"/>
      <c r="S10" s="2"/>
      <c r="T10" s="2"/>
    </row>
    <row r="11" spans="1:20" ht="30">
      <c r="A11" s="2" t="s">
        <v>122</v>
      </c>
      <c r="B11" s="2">
        <v>2023</v>
      </c>
      <c r="C11" s="6">
        <v>78166.94674681274</v>
      </c>
      <c r="D11" s="7">
        <v>2.1518152555732178E-2</v>
      </c>
      <c r="E11" s="10">
        <v>31.26</v>
      </c>
      <c r="F11" s="11">
        <v>82053388.563999996</v>
      </c>
      <c r="G11" s="11">
        <v>91684670.381999999</v>
      </c>
      <c r="H11" s="2">
        <f t="shared" si="0"/>
        <v>-9631281.8180000037</v>
      </c>
      <c r="I11" s="15">
        <v>356</v>
      </c>
      <c r="J11" s="15">
        <v>469</v>
      </c>
      <c r="K11" s="2">
        <f t="shared" si="1"/>
        <v>0.75906183368869939</v>
      </c>
      <c r="L11" s="10">
        <v>8.2239285158878594</v>
      </c>
      <c r="M11" s="14">
        <v>2.6761400000000002</v>
      </c>
      <c r="N11" s="2"/>
      <c r="O11" s="2">
        <v>0</v>
      </c>
      <c r="P11" s="2">
        <v>1</v>
      </c>
      <c r="Q11" s="2">
        <f t="shared" si="2"/>
        <v>0</v>
      </c>
      <c r="R11" s="2"/>
      <c r="S11" s="2"/>
      <c r="T11" s="2"/>
    </row>
    <row r="12" spans="1:20" ht="30">
      <c r="A12" s="2" t="s">
        <v>122</v>
      </c>
      <c r="B12" s="2">
        <v>2024</v>
      </c>
      <c r="C12" s="6">
        <v>89814.565861936033</v>
      </c>
      <c r="D12" s="7">
        <v>2.4367191195539085E-2</v>
      </c>
      <c r="E12" s="10">
        <v>33.36</v>
      </c>
      <c r="F12" s="11">
        <v>124729501.15000001</v>
      </c>
      <c r="G12" s="11">
        <v>145288857.22499999</v>
      </c>
      <c r="H12" s="2">
        <f t="shared" si="0"/>
        <v>-20559356.074999988</v>
      </c>
      <c r="I12" s="15">
        <v>310</v>
      </c>
      <c r="J12" s="15">
        <v>486</v>
      </c>
      <c r="K12" s="2">
        <f t="shared" si="1"/>
        <v>0.63786008230452673</v>
      </c>
      <c r="L12" s="10">
        <v>7.98503886607726</v>
      </c>
      <c r="M12" s="14"/>
      <c r="N12" s="2"/>
      <c r="O12" s="2">
        <v>0</v>
      </c>
      <c r="P12" s="2">
        <v>1</v>
      </c>
      <c r="Q12" s="2">
        <f t="shared" si="2"/>
        <v>0</v>
      </c>
      <c r="R12" s="2"/>
      <c r="S12" s="2"/>
      <c r="T12" s="2"/>
    </row>
    <row r="13" spans="1:20" ht="15">
      <c r="A13" s="2" t="s">
        <v>123</v>
      </c>
      <c r="B13" s="2">
        <v>2014</v>
      </c>
      <c r="C13" s="6">
        <v>51960.539036812719</v>
      </c>
      <c r="D13" s="7">
        <v>1.8595290655689881E-2</v>
      </c>
      <c r="E13" s="10">
        <v>24.64</v>
      </c>
      <c r="F13" s="11">
        <v>103057281</v>
      </c>
      <c r="G13" s="11">
        <v>69466722</v>
      </c>
      <c r="H13" s="2">
        <f t="shared" si="0"/>
        <v>33590559</v>
      </c>
      <c r="I13" s="15">
        <v>17</v>
      </c>
      <c r="J13" s="15">
        <v>17</v>
      </c>
      <c r="K13" s="2">
        <f t="shared" si="1"/>
        <v>1</v>
      </c>
      <c r="L13" s="10">
        <v>10.181498348147199</v>
      </c>
      <c r="M13" s="14">
        <v>2.2717299999999998</v>
      </c>
      <c r="N13" s="2"/>
      <c r="O13" s="2">
        <v>0</v>
      </c>
      <c r="P13" s="2">
        <v>0</v>
      </c>
      <c r="Q13" s="2">
        <f t="shared" si="2"/>
        <v>0</v>
      </c>
      <c r="R13" s="2"/>
      <c r="S13" s="2"/>
      <c r="T13" s="2"/>
    </row>
    <row r="14" spans="1:20" ht="15">
      <c r="A14" s="2" t="s">
        <v>123</v>
      </c>
      <c r="B14" s="2">
        <v>2015</v>
      </c>
      <c r="C14" s="6">
        <v>53381.982543970924</v>
      </c>
      <c r="D14" s="7">
        <v>1.8697326820440213E-2</v>
      </c>
      <c r="E14" s="10">
        <v>25.04</v>
      </c>
      <c r="F14" s="11">
        <v>124091986</v>
      </c>
      <c r="G14" s="11">
        <v>74221931</v>
      </c>
      <c r="H14" s="2">
        <f t="shared" si="0"/>
        <v>49870055</v>
      </c>
      <c r="I14" s="15">
        <v>16</v>
      </c>
      <c r="J14" s="15">
        <v>36</v>
      </c>
      <c r="K14" s="2">
        <f t="shared" si="1"/>
        <v>0.44444444444444442</v>
      </c>
      <c r="L14" s="10">
        <v>10.319911641746801</v>
      </c>
      <c r="M14" s="14">
        <v>2.2240099999999998</v>
      </c>
      <c r="N14" s="2"/>
      <c r="O14" s="2">
        <v>0</v>
      </c>
      <c r="P14" s="2">
        <v>0</v>
      </c>
      <c r="Q14" s="2">
        <f t="shared" si="2"/>
        <v>0</v>
      </c>
      <c r="R14" s="2"/>
      <c r="S14" s="2"/>
      <c r="T14" s="2"/>
    </row>
    <row r="15" spans="1:20" ht="15">
      <c r="A15" s="2" t="s">
        <v>123</v>
      </c>
      <c r="B15" s="2">
        <v>2016</v>
      </c>
      <c r="C15" s="6">
        <v>53500.063537557573</v>
      </c>
      <c r="D15" s="7">
        <v>1.8517180961611941E-2</v>
      </c>
      <c r="E15" s="10">
        <v>24.44</v>
      </c>
      <c r="F15" s="11">
        <v>116267897</v>
      </c>
      <c r="G15" s="11">
        <v>78232537</v>
      </c>
      <c r="H15" s="2">
        <f t="shared" si="0"/>
        <v>38035360</v>
      </c>
      <c r="I15" s="15">
        <v>30</v>
      </c>
      <c r="J15" s="15">
        <v>38</v>
      </c>
      <c r="K15" s="2">
        <f t="shared" si="1"/>
        <v>0.78947368421052633</v>
      </c>
      <c r="L15" s="10">
        <v>10.1652320223789</v>
      </c>
      <c r="M15" s="14">
        <v>2.2246800000000002</v>
      </c>
      <c r="N15" s="2"/>
      <c r="O15" s="2">
        <v>0</v>
      </c>
      <c r="P15" s="2">
        <v>0</v>
      </c>
      <c r="Q15" s="2">
        <f t="shared" si="2"/>
        <v>0</v>
      </c>
      <c r="R15" s="2"/>
      <c r="S15" s="2"/>
      <c r="T15" s="2"/>
    </row>
    <row r="16" spans="1:20" ht="15">
      <c r="A16" s="2" t="s">
        <v>123</v>
      </c>
      <c r="B16" s="2">
        <v>2017</v>
      </c>
      <c r="C16" s="6">
        <v>54391.08417055937</v>
      </c>
      <c r="D16" s="7">
        <v>1.8523088187904029E-2</v>
      </c>
      <c r="E16" s="10">
        <v>24.17</v>
      </c>
      <c r="F16" s="11">
        <v>83622160.230000004</v>
      </c>
      <c r="G16" s="11">
        <v>77204255.812999994</v>
      </c>
      <c r="H16" s="2">
        <f t="shared" si="0"/>
        <v>6417904.4170000106</v>
      </c>
      <c r="I16" s="15">
        <v>67</v>
      </c>
      <c r="J16" s="15">
        <v>84</v>
      </c>
      <c r="K16" s="2">
        <f t="shared" si="1"/>
        <v>0.79761904761904767</v>
      </c>
      <c r="L16" s="10">
        <v>10.010051575688699</v>
      </c>
      <c r="M16" s="14">
        <v>2.2042199999999998</v>
      </c>
      <c r="N16" s="2"/>
      <c r="O16" s="2">
        <v>0</v>
      </c>
      <c r="P16" s="2">
        <v>0</v>
      </c>
      <c r="Q16" s="2">
        <f t="shared" si="2"/>
        <v>0</v>
      </c>
      <c r="R16" s="2"/>
      <c r="S16" s="2"/>
      <c r="T16" s="2"/>
    </row>
    <row r="17" spans="1:20" ht="15">
      <c r="A17" s="2" t="s">
        <v>123</v>
      </c>
      <c r="B17" s="2">
        <v>2018</v>
      </c>
      <c r="C17" s="6">
        <v>54701.000108947868</v>
      </c>
      <c r="D17" s="7">
        <v>1.8460425714458936E-2</v>
      </c>
      <c r="E17" s="10">
        <v>23.66</v>
      </c>
      <c r="F17" s="11">
        <v>83262453.234999999</v>
      </c>
      <c r="G17" s="11">
        <v>75539496.849999994</v>
      </c>
      <c r="H17" s="2">
        <f t="shared" si="0"/>
        <v>7722956.3850000054</v>
      </c>
      <c r="I17" s="15">
        <v>60</v>
      </c>
      <c r="J17" s="15">
        <v>201</v>
      </c>
      <c r="K17" s="2">
        <f t="shared" si="1"/>
        <v>0.29850746268656714</v>
      </c>
      <c r="L17" s="10">
        <v>9.8862052164532805</v>
      </c>
      <c r="M17" s="14">
        <v>2.2040700000000002</v>
      </c>
      <c r="N17" s="2"/>
      <c r="O17" s="2">
        <v>0</v>
      </c>
      <c r="P17" s="2">
        <v>0</v>
      </c>
      <c r="Q17" s="2">
        <f t="shared" si="2"/>
        <v>0</v>
      </c>
      <c r="R17" s="2"/>
      <c r="S17" s="2"/>
      <c r="T17" s="2"/>
    </row>
    <row r="18" spans="1:20" ht="15">
      <c r="A18" s="2" t="s">
        <v>123</v>
      </c>
      <c r="B18" s="2">
        <v>2019</v>
      </c>
      <c r="C18" s="6">
        <v>56073.561440857353</v>
      </c>
      <c r="D18" s="7">
        <v>1.8528852069651314E-2</v>
      </c>
      <c r="E18" s="10">
        <v>24.53</v>
      </c>
      <c r="F18" s="11">
        <v>51728569.527000003</v>
      </c>
      <c r="G18" s="11">
        <v>64926171.379000001</v>
      </c>
      <c r="H18" s="2">
        <f t="shared" si="0"/>
        <v>-13197601.851999998</v>
      </c>
      <c r="I18" s="15">
        <v>54</v>
      </c>
      <c r="J18" s="15">
        <v>104</v>
      </c>
      <c r="K18" s="2">
        <f t="shared" si="1"/>
        <v>0.51923076923076927</v>
      </c>
      <c r="L18" s="10">
        <v>9.9109500063892604</v>
      </c>
      <c r="M18" s="14">
        <v>2.1966800000000002</v>
      </c>
      <c r="N18" s="2"/>
      <c r="O18" s="2">
        <v>0</v>
      </c>
      <c r="P18" s="2">
        <v>0</v>
      </c>
      <c r="Q18" s="2">
        <f t="shared" si="2"/>
        <v>0</v>
      </c>
      <c r="R18" s="2"/>
      <c r="S18" s="2"/>
      <c r="T18" s="2"/>
    </row>
    <row r="19" spans="1:20" ht="15">
      <c r="A19" s="2" t="s">
        <v>123</v>
      </c>
      <c r="B19" s="2">
        <v>2020</v>
      </c>
      <c r="C19" s="6">
        <v>58039.151683874945</v>
      </c>
      <c r="D19" s="7">
        <v>2.0216745528423227E-2</v>
      </c>
      <c r="E19" s="10">
        <v>26.62</v>
      </c>
      <c r="F19" s="11">
        <v>106514913.59100001</v>
      </c>
      <c r="G19" s="11">
        <v>59369385.226000004</v>
      </c>
      <c r="H19" s="2">
        <f t="shared" si="0"/>
        <v>47145528.365000002</v>
      </c>
      <c r="I19" s="15">
        <v>100</v>
      </c>
      <c r="J19" s="15">
        <v>225</v>
      </c>
      <c r="K19" s="2">
        <f t="shared" si="1"/>
        <v>0.44444444444444442</v>
      </c>
      <c r="L19" s="10">
        <v>9.2456671038593203</v>
      </c>
      <c r="M19" s="14">
        <v>2.2742</v>
      </c>
      <c r="N19" s="2"/>
      <c r="O19" s="2">
        <v>0</v>
      </c>
      <c r="P19" s="2">
        <v>0</v>
      </c>
      <c r="Q19" s="2">
        <f t="shared" si="2"/>
        <v>0</v>
      </c>
      <c r="R19" s="2"/>
      <c r="S19" s="2"/>
      <c r="T19" s="2"/>
    </row>
    <row r="20" spans="1:20" ht="15">
      <c r="A20" s="2" t="s">
        <v>123</v>
      </c>
      <c r="B20" s="2">
        <v>2021</v>
      </c>
      <c r="C20" s="6">
        <v>60510.285344940829</v>
      </c>
      <c r="D20" s="7">
        <v>1.9802222580793456E-2</v>
      </c>
      <c r="E20" s="10">
        <v>27.85</v>
      </c>
      <c r="F20" s="11">
        <v>82397301.170000002</v>
      </c>
      <c r="G20" s="11">
        <v>68001397.099000007</v>
      </c>
      <c r="H20" s="2">
        <f t="shared" si="0"/>
        <v>14395904.070999995</v>
      </c>
      <c r="I20" s="15">
        <v>7</v>
      </c>
      <c r="J20" s="15">
        <v>105</v>
      </c>
      <c r="K20" s="2">
        <f t="shared" si="1"/>
        <v>6.6666666666666666E-2</v>
      </c>
      <c r="L20" s="10">
        <v>9.0958251583278695</v>
      </c>
      <c r="M20" s="14">
        <v>2.21278</v>
      </c>
      <c r="N20" s="2"/>
      <c r="O20" s="2">
        <v>0</v>
      </c>
      <c r="P20" s="2">
        <v>0</v>
      </c>
      <c r="Q20" s="2">
        <f t="shared" si="2"/>
        <v>0</v>
      </c>
      <c r="R20" s="2"/>
      <c r="S20" s="2"/>
      <c r="T20" s="2"/>
    </row>
    <row r="21" spans="1:20" ht="15">
      <c r="A21" s="2" t="s">
        <v>123</v>
      </c>
      <c r="B21" s="2">
        <v>2022</v>
      </c>
      <c r="C21" s="6">
        <v>60193.327247225556</v>
      </c>
      <c r="D21" s="7">
        <v>1.958781267742106E-2</v>
      </c>
      <c r="E21" s="10">
        <v>28.64</v>
      </c>
      <c r="F21" s="11">
        <v>86213928.116999999</v>
      </c>
      <c r="G21" s="11">
        <v>73955667.850999996</v>
      </c>
      <c r="H21" s="2">
        <f t="shared" si="0"/>
        <v>12258260.266000003</v>
      </c>
      <c r="I21" s="15">
        <v>10</v>
      </c>
      <c r="J21" s="15">
        <v>130</v>
      </c>
      <c r="K21" s="2">
        <f t="shared" si="1"/>
        <v>7.6923076923076927E-2</v>
      </c>
      <c r="L21" s="10">
        <v>9.3013624882498007</v>
      </c>
      <c r="M21" s="14">
        <v>2.2193700000000001</v>
      </c>
      <c r="N21" s="2"/>
      <c r="O21" s="2">
        <v>0</v>
      </c>
      <c r="P21" s="2">
        <v>1</v>
      </c>
      <c r="Q21" s="2">
        <f t="shared" si="2"/>
        <v>0</v>
      </c>
      <c r="R21" s="2"/>
      <c r="S21" s="2"/>
      <c r="T21" s="2"/>
    </row>
    <row r="22" spans="1:20" ht="15">
      <c r="A22" s="2" t="s">
        <v>123</v>
      </c>
      <c r="B22" s="2">
        <v>2023</v>
      </c>
      <c r="C22" s="6">
        <v>60793.843583627211</v>
      </c>
      <c r="D22" s="7">
        <v>1.9481758891564126E-2</v>
      </c>
      <c r="E22" s="10">
        <v>28.5</v>
      </c>
      <c r="F22" s="11">
        <v>97966946.665999994</v>
      </c>
      <c r="G22" s="11">
        <v>83084141.398000002</v>
      </c>
      <c r="H22" s="2">
        <f t="shared" si="0"/>
        <v>14882805.267999992</v>
      </c>
      <c r="I22" s="15">
        <v>0</v>
      </c>
      <c r="J22" s="15">
        <v>114</v>
      </c>
      <c r="K22" s="2">
        <f t="shared" si="1"/>
        <v>0</v>
      </c>
      <c r="L22" s="10">
        <v>9.7687049703674997</v>
      </c>
      <c r="M22" s="14">
        <v>2.1783199999999998</v>
      </c>
      <c r="N22" s="2"/>
      <c r="O22" s="2">
        <v>0</v>
      </c>
      <c r="P22" s="2">
        <v>1</v>
      </c>
      <c r="Q22" s="2">
        <f t="shared" si="2"/>
        <v>0</v>
      </c>
      <c r="R22" s="2"/>
      <c r="S22" s="2"/>
      <c r="T22" s="2"/>
    </row>
    <row r="23" spans="1:20" ht="15">
      <c r="A23" s="2" t="s">
        <v>123</v>
      </c>
      <c r="B23" s="2">
        <v>2024</v>
      </c>
      <c r="C23" s="6">
        <v>63574.699212500054</v>
      </c>
      <c r="D23" s="7">
        <v>2.0115758077871092E-2</v>
      </c>
      <c r="E23" s="10">
        <v>28.5</v>
      </c>
      <c r="F23" s="11">
        <v>94149240.741999999</v>
      </c>
      <c r="G23" s="11">
        <v>100095936.404</v>
      </c>
      <c r="H23" s="2">
        <f t="shared" si="0"/>
        <v>-5946695.6620000005</v>
      </c>
      <c r="I23" s="15">
        <v>3</v>
      </c>
      <c r="J23" s="15">
        <v>183</v>
      </c>
      <c r="K23" s="2">
        <f t="shared" si="1"/>
        <v>1.6393442622950821E-2</v>
      </c>
      <c r="L23" s="10">
        <v>9.5664752069069205</v>
      </c>
      <c r="M23" s="14"/>
      <c r="N23" s="2"/>
      <c r="O23" s="2">
        <v>0</v>
      </c>
      <c r="P23" s="2">
        <v>1</v>
      </c>
      <c r="Q23" s="2">
        <f t="shared" si="2"/>
        <v>0</v>
      </c>
      <c r="R23" s="2"/>
      <c r="S23" s="2"/>
      <c r="T23" s="2"/>
    </row>
    <row r="24" spans="1:20" ht="15">
      <c r="A24" s="2" t="s">
        <v>124</v>
      </c>
      <c r="B24" s="2">
        <v>2014</v>
      </c>
      <c r="C24" s="6">
        <v>46077.631704642379</v>
      </c>
      <c r="D24" s="7">
        <v>1.1279639936069051E-2</v>
      </c>
      <c r="E24" s="10">
        <v>12.94</v>
      </c>
      <c r="F24" s="11">
        <v>179844173.123</v>
      </c>
      <c r="G24" s="11">
        <v>107883521.248</v>
      </c>
      <c r="H24" s="2">
        <f t="shared" si="0"/>
        <v>71960651.875</v>
      </c>
      <c r="I24" s="15">
        <v>29</v>
      </c>
      <c r="J24" s="15">
        <v>77</v>
      </c>
      <c r="K24" s="2">
        <f t="shared" si="1"/>
        <v>0.37662337662337664</v>
      </c>
      <c r="L24" s="10">
        <v>20.1102373285709</v>
      </c>
      <c r="M24" s="14">
        <v>2.8221799999999999</v>
      </c>
      <c r="N24" s="2"/>
      <c r="O24" s="2">
        <v>0</v>
      </c>
      <c r="P24" s="2">
        <v>0</v>
      </c>
      <c r="Q24" s="2">
        <f t="shared" si="2"/>
        <v>0</v>
      </c>
      <c r="R24" s="2"/>
      <c r="S24" s="2"/>
      <c r="T24" s="2"/>
    </row>
    <row r="25" spans="1:20" ht="15">
      <c r="A25" s="2" t="s">
        <v>124</v>
      </c>
      <c r="B25" s="2">
        <v>2015</v>
      </c>
      <c r="C25" s="6">
        <v>46868.79272168575</v>
      </c>
      <c r="D25" s="7">
        <v>1.1149197772616398E-2</v>
      </c>
      <c r="E25" s="10">
        <v>11.93</v>
      </c>
      <c r="F25" s="11">
        <v>181946450.03299999</v>
      </c>
      <c r="G25" s="11">
        <v>100107593.883</v>
      </c>
      <c r="H25" s="2">
        <f t="shared" si="0"/>
        <v>81838856.149999991</v>
      </c>
      <c r="I25" s="15">
        <v>29</v>
      </c>
      <c r="J25" s="15">
        <v>119</v>
      </c>
      <c r="K25" s="2">
        <f t="shared" si="1"/>
        <v>0.24369747899159663</v>
      </c>
      <c r="L25" s="10">
        <v>20.137964321694302</v>
      </c>
      <c r="M25" s="14">
        <v>2.8772500000000001</v>
      </c>
      <c r="N25" s="2"/>
      <c r="O25" s="2">
        <v>0</v>
      </c>
      <c r="P25" s="2">
        <v>0</v>
      </c>
      <c r="Q25" s="2">
        <f t="shared" si="2"/>
        <v>0</v>
      </c>
      <c r="R25" s="2"/>
      <c r="S25" s="2"/>
      <c r="T25" s="2"/>
    </row>
    <row r="26" spans="1:20" ht="15">
      <c r="A26" s="2" t="s">
        <v>124</v>
      </c>
      <c r="B26" s="2">
        <v>2016</v>
      </c>
      <c r="C26" s="6">
        <v>48902.680632670264</v>
      </c>
      <c r="D26" s="7">
        <v>1.1294431038961446E-2</v>
      </c>
      <c r="E26" s="10">
        <v>12.21</v>
      </c>
      <c r="F26" s="11">
        <v>182398710.21399999</v>
      </c>
      <c r="G26" s="11">
        <v>118592281.068</v>
      </c>
      <c r="H26" s="2">
        <f t="shared" si="0"/>
        <v>63806429.145999983</v>
      </c>
      <c r="I26" s="15">
        <v>5</v>
      </c>
      <c r="J26" s="15">
        <v>55</v>
      </c>
      <c r="K26" s="2">
        <f t="shared" si="1"/>
        <v>9.0909090909090912E-2</v>
      </c>
      <c r="L26" s="10">
        <v>20.4130244960425</v>
      </c>
      <c r="M26" s="14">
        <v>2.8839299999999999</v>
      </c>
      <c r="N26" s="2"/>
      <c r="O26" s="2">
        <v>0</v>
      </c>
      <c r="P26" s="2">
        <v>0</v>
      </c>
      <c r="Q26" s="2">
        <f t="shared" si="2"/>
        <v>0</v>
      </c>
      <c r="R26" s="2"/>
      <c r="S26" s="2"/>
      <c r="T26" s="2"/>
    </row>
    <row r="27" spans="1:20" ht="15">
      <c r="A27" s="2" t="s">
        <v>124</v>
      </c>
      <c r="B27" s="2">
        <v>2017</v>
      </c>
      <c r="C27" s="6">
        <v>50305.328104132983</v>
      </c>
      <c r="D27" s="7">
        <v>1.130582099000633E-2</v>
      </c>
      <c r="E27" s="10">
        <v>11.77</v>
      </c>
      <c r="F27" s="11">
        <v>156462636.963</v>
      </c>
      <c r="G27" s="11">
        <v>121905428.495</v>
      </c>
      <c r="H27" s="2">
        <f t="shared" si="0"/>
        <v>34557208.467999995</v>
      </c>
      <c r="I27" s="15">
        <v>3</v>
      </c>
      <c r="J27" s="15">
        <v>43</v>
      </c>
      <c r="K27" s="2">
        <f t="shared" si="1"/>
        <v>6.9767441860465115E-2</v>
      </c>
      <c r="L27" s="10">
        <v>20.092676209305999</v>
      </c>
      <c r="M27" s="14">
        <v>2.9885999999999999</v>
      </c>
      <c r="N27" s="2"/>
      <c r="O27" s="2">
        <v>0</v>
      </c>
      <c r="P27" s="2">
        <v>0</v>
      </c>
      <c r="Q27" s="2">
        <f t="shared" si="2"/>
        <v>0</v>
      </c>
      <c r="R27" s="2"/>
      <c r="S27" s="2"/>
      <c r="T27" s="2"/>
    </row>
    <row r="28" spans="1:20" ht="15">
      <c r="A28" s="2" t="s">
        <v>124</v>
      </c>
      <c r="B28" s="2">
        <v>2018</v>
      </c>
      <c r="C28" s="6">
        <v>51693.567321498973</v>
      </c>
      <c r="D28" s="7">
        <v>1.1471718651263967E-2</v>
      </c>
      <c r="E28" s="10">
        <v>12.36</v>
      </c>
      <c r="F28" s="11">
        <v>164477497.82499999</v>
      </c>
      <c r="G28" s="11">
        <v>108357834.80500001</v>
      </c>
      <c r="H28" s="2">
        <f t="shared" si="0"/>
        <v>56119663.019999981</v>
      </c>
      <c r="I28" s="15">
        <v>2</v>
      </c>
      <c r="J28" s="15">
        <v>14</v>
      </c>
      <c r="K28" s="2">
        <f t="shared" si="1"/>
        <v>0.14285714285714285</v>
      </c>
      <c r="L28" s="10">
        <v>19.8054472442</v>
      </c>
      <c r="M28" s="14">
        <v>3.05057</v>
      </c>
      <c r="N28" s="2"/>
      <c r="O28" s="2">
        <v>0</v>
      </c>
      <c r="P28" s="2">
        <v>0</v>
      </c>
      <c r="Q28" s="2">
        <f t="shared" si="2"/>
        <v>0</v>
      </c>
      <c r="R28" s="2"/>
      <c r="S28" s="2"/>
      <c r="T28" s="2"/>
    </row>
    <row r="29" spans="1:20" ht="15">
      <c r="A29" s="2" t="s">
        <v>124</v>
      </c>
      <c r="B29" s="2">
        <v>2019</v>
      </c>
      <c r="C29" s="6">
        <v>56704.668391866406</v>
      </c>
      <c r="D29" s="7">
        <v>1.2393070381762258E-2</v>
      </c>
      <c r="E29" s="10">
        <v>14.69</v>
      </c>
      <c r="F29" s="11">
        <v>150519940.42399999</v>
      </c>
      <c r="G29" s="11">
        <v>134843850.96900001</v>
      </c>
      <c r="H29" s="2">
        <f t="shared" si="0"/>
        <v>15676089.454999983</v>
      </c>
      <c r="I29" s="15">
        <v>7</v>
      </c>
      <c r="J29" s="15">
        <v>38</v>
      </c>
      <c r="K29" s="2">
        <f t="shared" si="1"/>
        <v>0.18421052631578946</v>
      </c>
      <c r="L29" s="10">
        <v>19.309469422833399</v>
      </c>
      <c r="M29" s="14">
        <v>3.1125600000000002</v>
      </c>
      <c r="N29" s="2"/>
      <c r="O29" s="2">
        <v>0</v>
      </c>
      <c r="P29" s="2">
        <v>0</v>
      </c>
      <c r="Q29" s="2">
        <f t="shared" si="2"/>
        <v>0</v>
      </c>
      <c r="R29" s="2"/>
      <c r="S29" s="2"/>
      <c r="T29" s="2"/>
    </row>
    <row r="30" spans="1:20" ht="15">
      <c r="A30" s="2" t="s">
        <v>124</v>
      </c>
      <c r="B30" s="2">
        <v>2020</v>
      </c>
      <c r="C30" s="6">
        <v>60418.430862471432</v>
      </c>
      <c r="D30" s="7">
        <v>1.3555576807159086E-2</v>
      </c>
      <c r="E30" s="10">
        <v>17.45</v>
      </c>
      <c r="F30" s="11">
        <v>189727362.29699999</v>
      </c>
      <c r="G30" s="11">
        <v>124377037.428</v>
      </c>
      <c r="H30" s="2">
        <f t="shared" si="0"/>
        <v>65350324.868999988</v>
      </c>
      <c r="I30" s="15">
        <v>65</v>
      </c>
      <c r="J30" s="15">
        <v>105</v>
      </c>
      <c r="K30" s="2">
        <f t="shared" si="1"/>
        <v>0.61904761904761907</v>
      </c>
      <c r="L30" s="10">
        <v>18.52749571104</v>
      </c>
      <c r="M30" s="14">
        <v>3.0897000000000001</v>
      </c>
      <c r="N30" s="2"/>
      <c r="O30" s="2">
        <v>0</v>
      </c>
      <c r="P30" s="2">
        <v>0</v>
      </c>
      <c r="Q30" s="2">
        <f t="shared" si="2"/>
        <v>0</v>
      </c>
      <c r="R30" s="2"/>
      <c r="S30" s="2"/>
      <c r="T30" s="2"/>
    </row>
    <row r="31" spans="1:20" ht="15">
      <c r="A31" s="2" t="s">
        <v>124</v>
      </c>
      <c r="B31" s="2">
        <v>2021</v>
      </c>
      <c r="C31" s="6">
        <v>59887.722771150518</v>
      </c>
      <c r="D31" s="7">
        <v>1.2977481709999621E-2</v>
      </c>
      <c r="E31" s="10">
        <v>16.690000000000001</v>
      </c>
      <c r="F31" s="11">
        <v>225359604.06999999</v>
      </c>
      <c r="G31" s="11">
        <v>108882551.84100001</v>
      </c>
      <c r="H31" s="2">
        <f t="shared" si="0"/>
        <v>116477052.22899999</v>
      </c>
      <c r="I31" s="15">
        <v>114</v>
      </c>
      <c r="J31" s="15">
        <v>235</v>
      </c>
      <c r="K31" s="2">
        <f t="shared" si="1"/>
        <v>0.48510638297872338</v>
      </c>
      <c r="L31" s="10">
        <v>18.572619584286102</v>
      </c>
      <c r="M31" s="14">
        <v>3.0785999999999998</v>
      </c>
      <c r="N31" s="2"/>
      <c r="O31" s="2">
        <v>0</v>
      </c>
      <c r="P31" s="2">
        <v>0</v>
      </c>
      <c r="Q31" s="2">
        <f t="shared" si="2"/>
        <v>0</v>
      </c>
      <c r="R31" s="2"/>
      <c r="S31" s="2"/>
      <c r="T31" s="2"/>
    </row>
    <row r="32" spans="1:20" ht="15">
      <c r="A32" s="2" t="s">
        <v>124</v>
      </c>
      <c r="B32" s="2">
        <v>2022</v>
      </c>
      <c r="C32" s="6">
        <v>62499.508802804543</v>
      </c>
      <c r="D32" s="7">
        <v>1.3360197924996053E-2</v>
      </c>
      <c r="E32" s="10">
        <v>17.23</v>
      </c>
      <c r="F32" s="11">
        <v>223706161.169</v>
      </c>
      <c r="G32" s="11">
        <v>159506120.22499999</v>
      </c>
      <c r="H32" s="2">
        <f t="shared" si="0"/>
        <v>64200040.944000006</v>
      </c>
      <c r="I32" s="15">
        <v>197</v>
      </c>
      <c r="J32" s="15">
        <v>269</v>
      </c>
      <c r="K32" s="2">
        <f t="shared" si="1"/>
        <v>0.73234200743494426</v>
      </c>
      <c r="L32" s="10">
        <v>18.321773504219902</v>
      </c>
      <c r="M32" s="14">
        <v>3.0709599999999999</v>
      </c>
      <c r="N32" s="2"/>
      <c r="O32" s="2">
        <v>0</v>
      </c>
      <c r="P32" s="2">
        <v>1</v>
      </c>
      <c r="Q32" s="2">
        <f t="shared" si="2"/>
        <v>0</v>
      </c>
      <c r="R32" s="2"/>
      <c r="S32" s="2"/>
      <c r="T32" s="2"/>
    </row>
    <row r="33" spans="1:20" ht="15">
      <c r="A33" s="2" t="s">
        <v>124</v>
      </c>
      <c r="B33" s="2">
        <v>2023</v>
      </c>
      <c r="C33" s="6">
        <v>70204.605231407113</v>
      </c>
      <c r="D33" s="7">
        <v>1.5033264680717936E-2</v>
      </c>
      <c r="E33" s="10">
        <v>18.04</v>
      </c>
      <c r="F33" s="11">
        <v>240260326.72799999</v>
      </c>
      <c r="G33" s="11">
        <v>267693588.961</v>
      </c>
      <c r="H33" s="2">
        <f t="shared" si="0"/>
        <v>-27433262.23300001</v>
      </c>
      <c r="I33" s="15">
        <v>153</v>
      </c>
      <c r="J33" s="15">
        <v>203</v>
      </c>
      <c r="K33" s="2">
        <f t="shared" si="1"/>
        <v>0.75369458128078815</v>
      </c>
      <c r="L33" s="10">
        <v>18.940253264159299</v>
      </c>
      <c r="M33" s="14">
        <v>3.1539000000000001</v>
      </c>
      <c r="N33" s="2"/>
      <c r="O33" s="2">
        <v>0</v>
      </c>
      <c r="P33" s="2">
        <v>1</v>
      </c>
      <c r="Q33" s="2">
        <f t="shared" si="2"/>
        <v>0</v>
      </c>
      <c r="R33" s="2"/>
      <c r="S33" s="2"/>
      <c r="T33" s="2"/>
    </row>
    <row r="34" spans="1:20" ht="15">
      <c r="A34" s="2" t="s">
        <v>124</v>
      </c>
      <c r="B34" s="2">
        <v>2024</v>
      </c>
      <c r="C34" s="6">
        <v>86148.285078515706</v>
      </c>
      <c r="D34" s="7">
        <v>1.8385782299253632E-2</v>
      </c>
      <c r="E34" s="10">
        <v>21.17</v>
      </c>
      <c r="F34" s="11">
        <v>245170569.759</v>
      </c>
      <c r="G34" s="11">
        <v>123536120.367</v>
      </c>
      <c r="H34" s="2">
        <f t="shared" si="0"/>
        <v>121634449.392</v>
      </c>
      <c r="I34" s="15">
        <v>203</v>
      </c>
      <c r="J34" s="15">
        <v>240</v>
      </c>
      <c r="K34" s="2">
        <f t="shared" si="1"/>
        <v>0.84583333333333333</v>
      </c>
      <c r="L34" s="10">
        <v>18.006708293196802</v>
      </c>
      <c r="M34" s="14"/>
      <c r="N34" s="2"/>
      <c r="O34" s="2">
        <v>0</v>
      </c>
      <c r="P34" s="2">
        <v>1</v>
      </c>
      <c r="Q34" s="2">
        <f t="shared" si="2"/>
        <v>0</v>
      </c>
      <c r="R34" s="2"/>
      <c r="S34" s="2"/>
      <c r="T34" s="2"/>
    </row>
    <row r="35" spans="1:20" ht="15">
      <c r="A35" s="2" t="s">
        <v>125</v>
      </c>
      <c r="B35" s="2">
        <v>2014</v>
      </c>
      <c r="C35" s="6">
        <v>26768.194185768472</v>
      </c>
      <c r="D35" s="7">
        <v>1.2507773383312019E-2</v>
      </c>
      <c r="E35" s="10">
        <v>10.92</v>
      </c>
      <c r="F35" s="11">
        <v>193739518</v>
      </c>
      <c r="G35" s="11">
        <v>62169786</v>
      </c>
      <c r="H35" s="2">
        <f t="shared" si="0"/>
        <v>131569732</v>
      </c>
      <c r="I35" s="15">
        <v>84</v>
      </c>
      <c r="J35" s="15">
        <v>127</v>
      </c>
      <c r="K35" s="2">
        <f t="shared" si="1"/>
        <v>0.66141732283464572</v>
      </c>
      <c r="L35" s="10">
        <v>13.8362218969996</v>
      </c>
      <c r="M35" s="14">
        <v>1.33148</v>
      </c>
      <c r="N35" s="2"/>
      <c r="O35" s="2">
        <v>0</v>
      </c>
      <c r="P35" s="2">
        <v>0</v>
      </c>
      <c r="Q35" s="2">
        <f t="shared" si="2"/>
        <v>0</v>
      </c>
      <c r="R35" s="2"/>
      <c r="S35" s="2"/>
      <c r="T35" s="2"/>
    </row>
    <row r="36" spans="1:20" ht="15">
      <c r="A36" s="2" t="s">
        <v>125</v>
      </c>
      <c r="B36" s="2">
        <v>2015</v>
      </c>
      <c r="C36" s="6">
        <v>25645.450421313675</v>
      </c>
      <c r="D36" s="7">
        <v>1.1790274107564842E-2</v>
      </c>
      <c r="E36" s="10">
        <v>9.7200000000000006</v>
      </c>
      <c r="F36" s="11">
        <v>165317332.995</v>
      </c>
      <c r="G36" s="11">
        <v>74379953.129999995</v>
      </c>
      <c r="H36" s="2">
        <f t="shared" si="0"/>
        <v>90937379.86500001</v>
      </c>
      <c r="I36" s="15">
        <v>194</v>
      </c>
      <c r="J36" s="15">
        <v>237</v>
      </c>
      <c r="K36" s="2">
        <f t="shared" si="1"/>
        <v>0.81856540084388185</v>
      </c>
      <c r="L36" s="10">
        <v>14.262344766601499</v>
      </c>
      <c r="M36" s="14">
        <v>1.33213</v>
      </c>
      <c r="N36" s="2"/>
      <c r="O36" s="2">
        <v>0</v>
      </c>
      <c r="P36" s="2">
        <v>0</v>
      </c>
      <c r="Q36" s="2">
        <f t="shared" si="2"/>
        <v>0</v>
      </c>
      <c r="R36" s="2"/>
      <c r="S36" s="2"/>
      <c r="T36" s="2"/>
    </row>
    <row r="37" spans="1:20" ht="15">
      <c r="A37" s="2" t="s">
        <v>125</v>
      </c>
      <c r="B37" s="2">
        <v>2016</v>
      </c>
      <c r="C37" s="6">
        <v>28933.50435134225</v>
      </c>
      <c r="D37" s="7">
        <v>1.2965312568499159E-2</v>
      </c>
      <c r="E37" s="10">
        <v>19.09</v>
      </c>
      <c r="F37" s="11">
        <v>148604303.13600001</v>
      </c>
      <c r="G37" s="11">
        <v>70609514.553000003</v>
      </c>
      <c r="H37" s="2">
        <f t="shared" si="0"/>
        <v>77994788.583000004</v>
      </c>
      <c r="I37" s="15">
        <v>396</v>
      </c>
      <c r="J37" s="15">
        <v>734</v>
      </c>
      <c r="K37" s="2">
        <f t="shared" si="1"/>
        <v>0.53950953678474112</v>
      </c>
      <c r="L37" s="10">
        <v>14.6638600182643</v>
      </c>
      <c r="M37" s="14">
        <v>1.3591500000000001</v>
      </c>
      <c r="N37" s="2"/>
      <c r="O37" s="2">
        <v>0</v>
      </c>
      <c r="P37" s="2">
        <v>0</v>
      </c>
      <c r="Q37" s="2">
        <f t="shared" si="2"/>
        <v>0</v>
      </c>
      <c r="R37" s="2"/>
      <c r="S37" s="2"/>
      <c r="T37" s="2"/>
    </row>
    <row r="38" spans="1:20" ht="15">
      <c r="A38" s="2" t="s">
        <v>125</v>
      </c>
      <c r="B38" s="2">
        <v>2017</v>
      </c>
      <c r="C38" s="6">
        <v>28981.203477181611</v>
      </c>
      <c r="D38" s="7">
        <v>1.284728571567785E-2</v>
      </c>
      <c r="E38" s="10">
        <v>20.68</v>
      </c>
      <c r="F38" s="11">
        <v>163611310.62</v>
      </c>
      <c r="G38" s="11">
        <v>50631204.369999997</v>
      </c>
      <c r="H38" s="2">
        <f t="shared" si="0"/>
        <v>112980106.25</v>
      </c>
      <c r="I38" s="15">
        <v>359</v>
      </c>
      <c r="J38" s="15">
        <v>709</v>
      </c>
      <c r="K38" s="2">
        <f t="shared" si="1"/>
        <v>0.50634696755994357</v>
      </c>
      <c r="L38" s="10">
        <v>14.816774845184201</v>
      </c>
      <c r="M38" s="14">
        <v>1.3639300000000001</v>
      </c>
      <c r="N38" s="2"/>
      <c r="O38" s="2">
        <v>0</v>
      </c>
      <c r="P38" s="2">
        <v>0</v>
      </c>
      <c r="Q38" s="2">
        <f t="shared" si="2"/>
        <v>0</v>
      </c>
      <c r="R38" s="2"/>
      <c r="S38" s="2"/>
      <c r="T38" s="2"/>
    </row>
    <row r="39" spans="1:20" ht="15">
      <c r="A39" s="2" t="s">
        <v>125</v>
      </c>
      <c r="B39" s="2">
        <v>2018</v>
      </c>
      <c r="C39" s="6">
        <v>30011.429997215473</v>
      </c>
      <c r="D39" s="7">
        <v>1.320364164837195E-2</v>
      </c>
      <c r="E39" s="10">
        <v>19.13</v>
      </c>
      <c r="F39" s="11">
        <v>145335003.89700001</v>
      </c>
      <c r="G39" s="11">
        <v>55871112.064000003</v>
      </c>
      <c r="H39" s="2">
        <f t="shared" si="0"/>
        <v>89463891.833000004</v>
      </c>
      <c r="I39" s="15">
        <v>229</v>
      </c>
      <c r="J39" s="15">
        <v>275</v>
      </c>
      <c r="K39" s="2">
        <f t="shared" si="1"/>
        <v>0.83272727272727276</v>
      </c>
      <c r="L39" s="10">
        <v>14.948071275038201</v>
      </c>
      <c r="M39" s="14">
        <v>1.41934</v>
      </c>
      <c r="N39" s="2"/>
      <c r="O39" s="2">
        <v>0</v>
      </c>
      <c r="P39" s="2">
        <v>0</v>
      </c>
      <c r="Q39" s="2">
        <f t="shared" si="2"/>
        <v>0</v>
      </c>
      <c r="R39" s="2"/>
      <c r="S39" s="2"/>
      <c r="T39" s="2"/>
    </row>
    <row r="40" spans="1:20" ht="15">
      <c r="A40" s="2" t="s">
        <v>125</v>
      </c>
      <c r="B40" s="2">
        <v>2019</v>
      </c>
      <c r="C40" s="6">
        <v>28611.293162463164</v>
      </c>
      <c r="D40" s="7">
        <v>1.2479803962913125E-2</v>
      </c>
      <c r="E40" s="10">
        <v>17</v>
      </c>
      <c r="F40" s="11">
        <v>123695441.904</v>
      </c>
      <c r="G40" s="11">
        <v>60316730.116999999</v>
      </c>
      <c r="H40" s="2">
        <f t="shared" si="0"/>
        <v>63378711.787</v>
      </c>
      <c r="I40" s="15">
        <v>167</v>
      </c>
      <c r="J40" s="15">
        <v>178</v>
      </c>
      <c r="K40" s="2">
        <f t="shared" si="1"/>
        <v>0.9382022471910112</v>
      </c>
      <c r="L40" s="10">
        <v>14.803282228795499</v>
      </c>
      <c r="M40" s="14">
        <v>1.4555800000000001</v>
      </c>
      <c r="N40" s="2"/>
      <c r="O40" s="2">
        <v>0</v>
      </c>
      <c r="P40" s="2">
        <v>0</v>
      </c>
      <c r="Q40" s="2">
        <f t="shared" si="2"/>
        <v>0</v>
      </c>
      <c r="R40" s="2"/>
      <c r="S40" s="2"/>
      <c r="T40" s="2"/>
    </row>
    <row r="41" spans="1:20" ht="15">
      <c r="A41" s="2" t="s">
        <v>125</v>
      </c>
      <c r="B41" s="2">
        <v>2020</v>
      </c>
      <c r="C41" s="6">
        <v>35328.846417902576</v>
      </c>
      <c r="D41" s="7">
        <v>1.6623953398176385E-2</v>
      </c>
      <c r="E41" s="10">
        <v>18.559999999999999</v>
      </c>
      <c r="F41" s="11">
        <v>129500428.067</v>
      </c>
      <c r="G41" s="11">
        <v>41533043.798</v>
      </c>
      <c r="H41" s="2">
        <f t="shared" si="0"/>
        <v>87967384.268999994</v>
      </c>
      <c r="I41" s="15">
        <v>200</v>
      </c>
      <c r="J41" s="15">
        <v>201</v>
      </c>
      <c r="K41" s="2">
        <f t="shared" si="1"/>
        <v>0.99502487562189057</v>
      </c>
      <c r="L41" s="10">
        <v>14.477256120151001</v>
      </c>
      <c r="M41" s="14">
        <v>1.4986900000000001</v>
      </c>
      <c r="N41" s="2"/>
      <c r="O41" s="2">
        <v>0</v>
      </c>
      <c r="P41" s="2">
        <v>0</v>
      </c>
      <c r="Q41" s="2">
        <f t="shared" si="2"/>
        <v>0</v>
      </c>
      <c r="R41" s="2"/>
      <c r="S41" s="2"/>
      <c r="T41" s="2"/>
    </row>
    <row r="42" spans="1:20" ht="15">
      <c r="A42" s="2" t="s">
        <v>125</v>
      </c>
      <c r="B42" s="2">
        <v>2021</v>
      </c>
      <c r="C42" s="6">
        <v>37010.442221526413</v>
      </c>
      <c r="D42" s="7">
        <v>1.6080586704834945E-2</v>
      </c>
      <c r="E42" s="10">
        <v>23.23</v>
      </c>
      <c r="F42" s="11">
        <v>186027070.745</v>
      </c>
      <c r="G42" s="11">
        <v>56971785.825000003</v>
      </c>
      <c r="H42" s="2">
        <f t="shared" si="0"/>
        <v>129055284.92</v>
      </c>
      <c r="I42" s="15">
        <v>204</v>
      </c>
      <c r="J42" s="15">
        <v>211</v>
      </c>
      <c r="K42" s="2">
        <f t="shared" si="1"/>
        <v>0.96682464454976302</v>
      </c>
      <c r="L42" s="10">
        <v>15.365300568127999</v>
      </c>
      <c r="M42" s="14">
        <v>1.41065</v>
      </c>
      <c r="N42" s="2"/>
      <c r="O42" s="2">
        <v>0</v>
      </c>
      <c r="P42" s="2">
        <v>0</v>
      </c>
      <c r="Q42" s="2">
        <f t="shared" si="2"/>
        <v>0</v>
      </c>
      <c r="R42" s="2"/>
      <c r="S42" s="2"/>
      <c r="T42" s="2"/>
    </row>
    <row r="43" spans="1:20" ht="15">
      <c r="A43" s="2" t="s">
        <v>125</v>
      </c>
      <c r="B43" s="2">
        <v>2022</v>
      </c>
      <c r="C43" s="6">
        <v>36951.186563551346</v>
      </c>
      <c r="D43" s="7">
        <v>1.6019037546483546E-2</v>
      </c>
      <c r="E43" s="10">
        <v>22.77</v>
      </c>
      <c r="F43" s="11">
        <v>208646778.065</v>
      </c>
      <c r="G43" s="11">
        <v>67656707.502000004</v>
      </c>
      <c r="H43" s="2">
        <f t="shared" si="0"/>
        <v>140990070.56299999</v>
      </c>
      <c r="I43" s="15">
        <v>214</v>
      </c>
      <c r="J43" s="15">
        <v>237</v>
      </c>
      <c r="K43" s="2">
        <f t="shared" si="1"/>
        <v>0.90295358649789026</v>
      </c>
      <c r="L43" s="10">
        <v>15.382253878062301</v>
      </c>
      <c r="M43" s="14">
        <v>1.3656299999999999</v>
      </c>
      <c r="N43" s="2"/>
      <c r="O43" s="2">
        <v>0</v>
      </c>
      <c r="P43" s="2">
        <v>1</v>
      </c>
      <c r="Q43" s="2">
        <f t="shared" si="2"/>
        <v>0</v>
      </c>
      <c r="R43" s="2"/>
      <c r="S43" s="2"/>
      <c r="T43" s="2"/>
    </row>
    <row r="44" spans="1:20" ht="15">
      <c r="A44" s="2" t="s">
        <v>125</v>
      </c>
      <c r="B44" s="2">
        <v>2023</v>
      </c>
      <c r="C44" s="6">
        <v>35923.527621990746</v>
      </c>
      <c r="D44" s="7">
        <v>1.533952857406955E-2</v>
      </c>
      <c r="E44" s="10">
        <v>21.98</v>
      </c>
      <c r="F44" s="11">
        <v>230690302.52399999</v>
      </c>
      <c r="G44" s="11">
        <v>73151142.718999997</v>
      </c>
      <c r="H44" s="2">
        <f t="shared" si="0"/>
        <v>157539159.80500001</v>
      </c>
      <c r="I44" s="15">
        <v>408</v>
      </c>
      <c r="J44" s="15">
        <v>425</v>
      </c>
      <c r="K44" s="2">
        <f t="shared" si="1"/>
        <v>0.96</v>
      </c>
      <c r="L44" s="10">
        <v>15.475760147114601</v>
      </c>
      <c r="M44" s="14">
        <v>1.3793500000000001</v>
      </c>
      <c r="N44" s="2"/>
      <c r="O44" s="2">
        <v>0</v>
      </c>
      <c r="P44" s="2">
        <v>1</v>
      </c>
      <c r="Q44" s="2">
        <f t="shared" si="2"/>
        <v>0</v>
      </c>
      <c r="R44" s="2"/>
      <c r="S44" s="2"/>
      <c r="T44" s="2"/>
    </row>
    <row r="45" spans="1:20" ht="15">
      <c r="A45" s="2" t="s">
        <v>125</v>
      </c>
      <c r="B45" s="2">
        <v>2024</v>
      </c>
      <c r="C45" s="6">
        <v>37849.546135625031</v>
      </c>
      <c r="D45" s="7">
        <v>1.5897659385982865E-2</v>
      </c>
      <c r="E45" s="10">
        <v>21.58</v>
      </c>
      <c r="F45" s="11">
        <v>203234342.95500001</v>
      </c>
      <c r="G45" s="11">
        <v>72096172.388999999</v>
      </c>
      <c r="H45" s="2">
        <f t="shared" si="0"/>
        <v>131138170.56600001</v>
      </c>
      <c r="I45" s="15">
        <v>454</v>
      </c>
      <c r="J45" s="15">
        <v>494</v>
      </c>
      <c r="K45" s="2">
        <f t="shared" si="1"/>
        <v>0.91902834008097167</v>
      </c>
      <c r="L45" s="10">
        <v>14.823573569136601</v>
      </c>
      <c r="M45" s="14"/>
      <c r="N45" s="2"/>
      <c r="O45" s="2">
        <v>0</v>
      </c>
      <c r="P45" s="2">
        <v>1</v>
      </c>
      <c r="Q45" s="2">
        <f t="shared" si="2"/>
        <v>0</v>
      </c>
      <c r="R45" s="2"/>
      <c r="S45" s="2"/>
      <c r="T45" s="2"/>
    </row>
    <row r="46" spans="1:20" ht="15">
      <c r="A46" s="2" t="s">
        <v>126</v>
      </c>
      <c r="B46" s="2">
        <v>2014</v>
      </c>
      <c r="C46" s="6">
        <v>17216.723095075733</v>
      </c>
      <c r="D46" s="7">
        <v>1.2462594410312729E-2</v>
      </c>
      <c r="E46" s="10">
        <v>13.49</v>
      </c>
      <c r="F46" s="11">
        <v>131474541.964</v>
      </c>
      <c r="G46" s="11">
        <v>55489078.391000003</v>
      </c>
      <c r="H46" s="2">
        <f t="shared" si="0"/>
        <v>75985463.572999999</v>
      </c>
      <c r="I46" s="15">
        <v>20</v>
      </c>
      <c r="J46" s="15">
        <v>109</v>
      </c>
      <c r="K46" s="2">
        <f t="shared" si="1"/>
        <v>0.1834862385321101</v>
      </c>
      <c r="L46" s="10">
        <v>10.997556184182301</v>
      </c>
      <c r="M46" s="14">
        <v>1.2340100000000001</v>
      </c>
      <c r="N46" s="2"/>
      <c r="O46" s="2">
        <v>0</v>
      </c>
      <c r="P46" s="2">
        <v>0</v>
      </c>
      <c r="Q46" s="2">
        <f t="shared" si="2"/>
        <v>0</v>
      </c>
      <c r="R46" s="2"/>
      <c r="S46" s="2"/>
      <c r="T46" s="2"/>
    </row>
    <row r="47" spans="1:20" ht="15">
      <c r="A47" s="2" t="s">
        <v>126</v>
      </c>
      <c r="B47" s="2">
        <v>2015</v>
      </c>
      <c r="C47" s="6">
        <v>18300.594814599153</v>
      </c>
      <c r="D47" s="7">
        <v>1.2596926535628342E-2</v>
      </c>
      <c r="E47" s="10">
        <v>14.82</v>
      </c>
      <c r="F47" s="11">
        <v>103911476.089</v>
      </c>
      <c r="G47" s="11">
        <v>42133963.865000002</v>
      </c>
      <c r="H47" s="2">
        <f t="shared" si="0"/>
        <v>61777512.223999999</v>
      </c>
      <c r="I47" s="15">
        <v>20</v>
      </c>
      <c r="J47" s="15">
        <v>152</v>
      </c>
      <c r="K47" s="2">
        <f t="shared" si="1"/>
        <v>0.13157894736842105</v>
      </c>
      <c r="L47" s="10">
        <v>11.013768590540799</v>
      </c>
      <c r="M47" s="14">
        <v>1.2116499999999999</v>
      </c>
      <c r="N47" s="2"/>
      <c r="O47" s="2">
        <v>0</v>
      </c>
      <c r="P47" s="2">
        <v>0</v>
      </c>
      <c r="Q47" s="2">
        <f t="shared" si="2"/>
        <v>0</v>
      </c>
      <c r="R47" s="2"/>
      <c r="S47" s="2"/>
      <c r="T47" s="2"/>
    </row>
    <row r="48" spans="1:20" ht="15">
      <c r="A48" s="2" t="s">
        <v>126</v>
      </c>
      <c r="B48" s="2">
        <v>2016</v>
      </c>
      <c r="C48" s="6">
        <v>16969.473014046373</v>
      </c>
      <c r="D48" s="7">
        <v>1.128481068455262E-2</v>
      </c>
      <c r="E48" s="10">
        <v>6.65</v>
      </c>
      <c r="F48" s="11">
        <v>101136841.45299999</v>
      </c>
      <c r="G48" s="11">
        <v>44885640.979000002</v>
      </c>
      <c r="H48" s="2">
        <f t="shared" si="0"/>
        <v>56251200.473999992</v>
      </c>
      <c r="I48" s="15">
        <v>2</v>
      </c>
      <c r="J48" s="15">
        <v>104</v>
      </c>
      <c r="K48" s="2">
        <f t="shared" si="1"/>
        <v>1.9230769230769232E-2</v>
      </c>
      <c r="L48" s="10">
        <v>10.9527706513192</v>
      </c>
      <c r="M48" s="14">
        <v>1.1808000000000001</v>
      </c>
      <c r="N48" s="2"/>
      <c r="O48" s="2">
        <v>0</v>
      </c>
      <c r="P48" s="2">
        <v>0</v>
      </c>
      <c r="Q48" s="2">
        <f t="shared" si="2"/>
        <v>0</v>
      </c>
      <c r="R48" s="2"/>
      <c r="S48" s="2"/>
      <c r="T48" s="2"/>
    </row>
    <row r="49" spans="1:20" ht="15">
      <c r="A49" s="2" t="s">
        <v>126</v>
      </c>
      <c r="B49" s="2">
        <v>2017</v>
      </c>
      <c r="C49" s="6">
        <v>18780.161922010659</v>
      </c>
      <c r="D49" s="7">
        <v>1.2221108284958258E-2</v>
      </c>
      <c r="E49" s="10">
        <v>20.39</v>
      </c>
      <c r="F49" s="11">
        <v>333308561.79000002</v>
      </c>
      <c r="G49" s="11">
        <v>61591442.342</v>
      </c>
      <c r="H49" s="2">
        <f t="shared" si="0"/>
        <v>271717119.44800001</v>
      </c>
      <c r="I49" s="15">
        <v>5</v>
      </c>
      <c r="J49" s="15">
        <v>82</v>
      </c>
      <c r="K49" s="2">
        <f t="shared" si="1"/>
        <v>6.097560975609756E-2</v>
      </c>
      <c r="L49" s="10">
        <v>11.1145583338461</v>
      </c>
      <c r="M49" s="14">
        <v>1.20198</v>
      </c>
      <c r="N49" s="2"/>
      <c r="O49" s="2">
        <v>0</v>
      </c>
      <c r="P49" s="2">
        <v>0</v>
      </c>
      <c r="Q49" s="2">
        <f t="shared" si="2"/>
        <v>0</v>
      </c>
      <c r="R49" s="2"/>
      <c r="S49" s="2"/>
      <c r="T49" s="2"/>
    </row>
    <row r="50" spans="1:20" ht="15">
      <c r="A50" s="2" t="s">
        <v>126</v>
      </c>
      <c r="B50" s="2">
        <v>2018</v>
      </c>
      <c r="C50" s="6">
        <v>19506.017419778615</v>
      </c>
      <c r="D50" s="7">
        <v>1.2456247587183117E-2</v>
      </c>
      <c r="E50" s="10">
        <v>21.83</v>
      </c>
      <c r="F50" s="11">
        <v>401499000.85799998</v>
      </c>
      <c r="G50" s="11">
        <v>74764371.932999998</v>
      </c>
      <c r="H50" s="2">
        <f t="shared" si="0"/>
        <v>326734628.92499995</v>
      </c>
      <c r="I50" s="15">
        <v>16</v>
      </c>
      <c r="J50" s="15">
        <v>149</v>
      </c>
      <c r="K50" s="2">
        <f t="shared" si="1"/>
        <v>0.10738255033557047</v>
      </c>
      <c r="L50" s="10">
        <v>10.7886322916564</v>
      </c>
      <c r="M50" s="14">
        <v>1.23288</v>
      </c>
      <c r="N50" s="2"/>
      <c r="O50" s="2">
        <v>0</v>
      </c>
      <c r="P50" s="2">
        <v>0</v>
      </c>
      <c r="Q50" s="2">
        <f t="shared" si="2"/>
        <v>0</v>
      </c>
      <c r="R50" s="2"/>
      <c r="S50" s="2"/>
      <c r="T50" s="2"/>
    </row>
    <row r="51" spans="1:20" ht="15">
      <c r="A51" s="2" t="s">
        <v>126</v>
      </c>
      <c r="B51" s="2">
        <v>2019</v>
      </c>
      <c r="C51" s="6">
        <v>19695.17598288224</v>
      </c>
      <c r="D51" s="7">
        <v>1.2246452528894242E-2</v>
      </c>
      <c r="E51" s="10">
        <v>21.02</v>
      </c>
      <c r="F51" s="11">
        <v>307522147.27899998</v>
      </c>
      <c r="G51" s="11">
        <v>68478964.599999994</v>
      </c>
      <c r="H51" s="2">
        <f t="shared" si="0"/>
        <v>239043182.67899999</v>
      </c>
      <c r="I51" s="15">
        <v>20</v>
      </c>
      <c r="J51" s="15">
        <v>35</v>
      </c>
      <c r="K51" s="2">
        <f t="shared" si="1"/>
        <v>0.5714285714285714</v>
      </c>
      <c r="L51" s="10">
        <v>10.6967320991298</v>
      </c>
      <c r="M51" s="14">
        <v>1.24207</v>
      </c>
      <c r="N51" s="2"/>
      <c r="O51" s="2">
        <v>0</v>
      </c>
      <c r="P51" s="2">
        <v>0</v>
      </c>
      <c r="Q51" s="2">
        <f t="shared" si="2"/>
        <v>0</v>
      </c>
      <c r="R51" s="2"/>
      <c r="S51" s="2"/>
      <c r="T51" s="2"/>
    </row>
    <row r="52" spans="1:20" ht="15">
      <c r="A52" s="2" t="s">
        <v>126</v>
      </c>
      <c r="B52" s="2">
        <v>2020</v>
      </c>
      <c r="C52" s="6">
        <v>19701.911649339971</v>
      </c>
      <c r="D52" s="7">
        <v>1.3557377078215466E-2</v>
      </c>
      <c r="E52" s="10">
        <v>19.43</v>
      </c>
      <c r="F52" s="11">
        <v>306628104.06699997</v>
      </c>
      <c r="G52" s="11">
        <v>66396016.289999999</v>
      </c>
      <c r="H52" s="2">
        <f t="shared" si="0"/>
        <v>240232087.77699998</v>
      </c>
      <c r="I52" s="15">
        <v>30</v>
      </c>
      <c r="J52" s="15">
        <v>70</v>
      </c>
      <c r="K52" s="2">
        <f t="shared" si="1"/>
        <v>0.42857142857142855</v>
      </c>
      <c r="L52" s="10">
        <v>10.853212942808</v>
      </c>
      <c r="M52" s="14">
        <v>1.3963700000000001</v>
      </c>
      <c r="N52" s="2"/>
      <c r="O52" s="2">
        <v>0</v>
      </c>
      <c r="P52" s="2">
        <v>0</v>
      </c>
      <c r="Q52" s="2">
        <f t="shared" si="2"/>
        <v>0</v>
      </c>
      <c r="R52" s="2"/>
      <c r="S52" s="2"/>
      <c r="T52" s="2"/>
    </row>
    <row r="53" spans="1:20" ht="15">
      <c r="A53" s="2" t="s">
        <v>126</v>
      </c>
      <c r="B53" s="2">
        <v>2021</v>
      </c>
      <c r="C53" s="6">
        <v>21080.279523324789</v>
      </c>
      <c r="D53" s="7">
        <v>1.366834915182351E-2</v>
      </c>
      <c r="E53" s="10">
        <v>22.47</v>
      </c>
      <c r="F53" s="11">
        <v>361988045.33600003</v>
      </c>
      <c r="G53" s="11">
        <v>101986232.37899999</v>
      </c>
      <c r="H53" s="2">
        <f t="shared" si="0"/>
        <v>260001812.95700002</v>
      </c>
      <c r="I53" s="15">
        <v>30</v>
      </c>
      <c r="J53" s="15">
        <v>134</v>
      </c>
      <c r="K53" s="2">
        <f t="shared" si="1"/>
        <v>0.22388059701492538</v>
      </c>
      <c r="L53" s="10">
        <v>11.256084709188499</v>
      </c>
      <c r="M53" s="14">
        <v>1.3961699999999999</v>
      </c>
      <c r="N53" s="2"/>
      <c r="O53" s="2">
        <v>0</v>
      </c>
      <c r="P53" s="2">
        <v>0</v>
      </c>
      <c r="Q53" s="2">
        <f t="shared" si="2"/>
        <v>0</v>
      </c>
      <c r="R53" s="2"/>
      <c r="S53" s="2"/>
      <c r="T53" s="2"/>
    </row>
    <row r="54" spans="1:20" ht="15">
      <c r="A54" s="2" t="s">
        <v>126</v>
      </c>
      <c r="B54" s="2">
        <v>2022</v>
      </c>
      <c r="C54" s="6">
        <v>22690.769669566835</v>
      </c>
      <c r="D54" s="7">
        <v>1.4319863242197806E-2</v>
      </c>
      <c r="E54" s="10">
        <v>20.89</v>
      </c>
      <c r="F54" s="11">
        <v>341817981.97899997</v>
      </c>
      <c r="G54" s="11">
        <v>129024179.91</v>
      </c>
      <c r="H54" s="2">
        <f t="shared" si="0"/>
        <v>212793802.06899998</v>
      </c>
      <c r="I54" s="15">
        <v>71</v>
      </c>
      <c r="J54" s="15">
        <v>198</v>
      </c>
      <c r="K54" s="2">
        <f t="shared" si="1"/>
        <v>0.35858585858585856</v>
      </c>
      <c r="L54" s="10">
        <v>11.0279875249207</v>
      </c>
      <c r="M54" s="14">
        <v>1.4068400000000001</v>
      </c>
      <c r="N54" s="2"/>
      <c r="O54" s="2">
        <v>0</v>
      </c>
      <c r="P54" s="2">
        <v>1</v>
      </c>
      <c r="Q54" s="2">
        <f t="shared" si="2"/>
        <v>0</v>
      </c>
      <c r="R54" s="2"/>
      <c r="S54" s="2"/>
      <c r="T54" s="2"/>
    </row>
    <row r="55" spans="1:20" ht="15">
      <c r="A55" s="2" t="s">
        <v>126</v>
      </c>
      <c r="B55" s="2">
        <v>2023</v>
      </c>
      <c r="C55" s="6">
        <v>25573.428149310243</v>
      </c>
      <c r="D55" s="7">
        <v>1.5349257992430034E-2</v>
      </c>
      <c r="E55" s="10">
        <v>27.39</v>
      </c>
      <c r="F55" s="11">
        <v>528353371.05500001</v>
      </c>
      <c r="G55" s="11">
        <v>162092992.264</v>
      </c>
      <c r="H55" s="2">
        <f t="shared" si="0"/>
        <v>366260378.79100001</v>
      </c>
      <c r="I55" s="15">
        <v>146</v>
      </c>
      <c r="J55" s="15">
        <v>159</v>
      </c>
      <c r="K55" s="2">
        <f t="shared" si="1"/>
        <v>0.91823899371069184</v>
      </c>
      <c r="L55" s="10">
        <v>10.9510128785567</v>
      </c>
      <c r="M55" s="14">
        <v>1.4936199999999999</v>
      </c>
      <c r="N55" s="2"/>
      <c r="O55" s="2">
        <v>0</v>
      </c>
      <c r="P55" s="2">
        <v>1</v>
      </c>
      <c r="Q55" s="2">
        <f t="shared" si="2"/>
        <v>0</v>
      </c>
      <c r="R55" s="2"/>
      <c r="S55" s="2"/>
      <c r="T55" s="2"/>
    </row>
    <row r="56" spans="1:20" ht="15">
      <c r="A56" s="2" t="s">
        <v>126</v>
      </c>
      <c r="B56" s="2">
        <v>2024</v>
      </c>
      <c r="C56" s="6">
        <v>25199.837644766747</v>
      </c>
      <c r="D56" s="7">
        <v>1.4603080918003174E-2</v>
      </c>
      <c r="E56" s="10">
        <v>30.79</v>
      </c>
      <c r="F56" s="11">
        <v>596064913.33599997</v>
      </c>
      <c r="G56" s="11">
        <v>204398392.18900001</v>
      </c>
      <c r="H56" s="2">
        <f t="shared" si="0"/>
        <v>391666521.14699996</v>
      </c>
      <c r="I56" s="15">
        <v>132</v>
      </c>
      <c r="J56" s="15">
        <v>159</v>
      </c>
      <c r="K56" s="2">
        <f t="shared" si="1"/>
        <v>0.83018867924528306</v>
      </c>
      <c r="L56" s="10">
        <v>10.8444299486305</v>
      </c>
      <c r="M56" s="14"/>
      <c r="N56" s="2"/>
      <c r="O56" s="2">
        <v>0</v>
      </c>
      <c r="P56" s="2">
        <v>1</v>
      </c>
      <c r="Q56" s="2">
        <f t="shared" si="2"/>
        <v>0</v>
      </c>
      <c r="R56" s="2"/>
      <c r="S56" s="2"/>
      <c r="T56" s="2"/>
    </row>
    <row r="57" spans="1:20" ht="15">
      <c r="A57" s="2" t="s">
        <v>127</v>
      </c>
      <c r="B57" s="2">
        <v>2014</v>
      </c>
      <c r="C57" s="6">
        <v>11050.377941727502</v>
      </c>
      <c r="D57" s="7">
        <v>1.1476112798341357E-2</v>
      </c>
      <c r="E57" s="10">
        <v>10.68</v>
      </c>
      <c r="F57" s="11">
        <v>10112431.575999999</v>
      </c>
      <c r="G57" s="11">
        <v>69311469.502000004</v>
      </c>
      <c r="H57" s="2">
        <f t="shared" si="0"/>
        <v>-59199037.926000006</v>
      </c>
      <c r="I57" s="15">
        <v>0</v>
      </c>
      <c r="J57" s="15">
        <v>8</v>
      </c>
      <c r="K57" s="2">
        <f t="shared" si="1"/>
        <v>0</v>
      </c>
      <c r="L57" s="10">
        <v>9.6623034450441807</v>
      </c>
      <c r="M57" s="14">
        <v>2.1506699999999999</v>
      </c>
      <c r="N57" s="2"/>
      <c r="O57" s="2">
        <v>0</v>
      </c>
      <c r="P57" s="2">
        <v>0</v>
      </c>
      <c r="Q57" s="2">
        <f t="shared" si="2"/>
        <v>0</v>
      </c>
      <c r="R57" s="2"/>
      <c r="S57" s="2"/>
      <c r="T57" s="2"/>
    </row>
    <row r="58" spans="1:20" ht="15">
      <c r="A58" s="2" t="s">
        <v>127</v>
      </c>
      <c r="B58" s="2">
        <v>2015</v>
      </c>
      <c r="C58" s="6">
        <v>11023.654028194986</v>
      </c>
      <c r="D58" s="7">
        <v>1.1178603353952873E-2</v>
      </c>
      <c r="E58" s="10">
        <v>11.16</v>
      </c>
      <c r="F58" s="11">
        <v>1671002.3289999999</v>
      </c>
      <c r="G58" s="11">
        <v>64853120.158</v>
      </c>
      <c r="H58" s="2">
        <f t="shared" si="0"/>
        <v>-63182117.828999996</v>
      </c>
      <c r="I58" s="15">
        <v>10</v>
      </c>
      <c r="J58" s="15">
        <v>51</v>
      </c>
      <c r="K58" s="2">
        <f t="shared" si="1"/>
        <v>0.19607843137254902</v>
      </c>
      <c r="L58" s="10">
        <v>10.148818250080501</v>
      </c>
      <c r="M58" s="14">
        <v>2.1179199999999998</v>
      </c>
      <c r="N58" s="2"/>
      <c r="O58" s="2">
        <v>0</v>
      </c>
      <c r="P58" s="2">
        <v>0</v>
      </c>
      <c r="Q58" s="2">
        <f t="shared" si="2"/>
        <v>0</v>
      </c>
      <c r="R58" s="2"/>
      <c r="S58" s="2"/>
      <c r="T58" s="2"/>
    </row>
    <row r="59" spans="1:20" ht="15">
      <c r="A59" s="2" t="s">
        <v>127</v>
      </c>
      <c r="B59" s="2">
        <v>2016</v>
      </c>
      <c r="C59" s="6">
        <v>11588.646915803965</v>
      </c>
      <c r="D59" s="7">
        <v>1.1444996007914742E-2</v>
      </c>
      <c r="E59" s="10">
        <v>14.14</v>
      </c>
      <c r="F59" s="11">
        <v>2934980.426</v>
      </c>
      <c r="G59" s="11">
        <v>91537408.216000006</v>
      </c>
      <c r="H59" s="2">
        <f t="shared" si="0"/>
        <v>-88602427.790000007</v>
      </c>
      <c r="I59" s="15">
        <v>43</v>
      </c>
      <c r="J59" s="15">
        <v>69</v>
      </c>
      <c r="K59" s="2">
        <f t="shared" si="1"/>
        <v>0.62318840579710144</v>
      </c>
      <c r="L59" s="10">
        <v>10.266949005450099</v>
      </c>
      <c r="M59" s="14">
        <v>2.1154600000000001</v>
      </c>
      <c r="N59" s="2"/>
      <c r="O59" s="2">
        <v>0</v>
      </c>
      <c r="P59" s="2">
        <v>0</v>
      </c>
      <c r="Q59" s="2">
        <f t="shared" si="2"/>
        <v>0</v>
      </c>
      <c r="R59" s="2"/>
      <c r="S59" s="2"/>
      <c r="T59" s="2"/>
    </row>
    <row r="60" spans="1:20" ht="15">
      <c r="A60" s="2" t="s">
        <v>127</v>
      </c>
      <c r="B60" s="2">
        <v>2017</v>
      </c>
      <c r="C60" s="6">
        <v>11841.928537280855</v>
      </c>
      <c r="D60" s="7">
        <v>1.1372144777795091E-2</v>
      </c>
      <c r="E60" s="10">
        <v>14.75</v>
      </c>
      <c r="F60" s="11">
        <v>16866093.157000002</v>
      </c>
      <c r="G60" s="11">
        <v>131891185.958</v>
      </c>
      <c r="H60" s="2">
        <f t="shared" si="0"/>
        <v>-115025092.801</v>
      </c>
      <c r="I60" s="15">
        <v>23</v>
      </c>
      <c r="J60" s="15">
        <v>33</v>
      </c>
      <c r="K60" s="2">
        <f t="shared" si="1"/>
        <v>0.69696969696969702</v>
      </c>
      <c r="L60" s="10">
        <v>10.5500219081827</v>
      </c>
      <c r="M60" s="14">
        <v>2.14167</v>
      </c>
      <c r="N60" s="2"/>
      <c r="O60" s="2">
        <v>0</v>
      </c>
      <c r="P60" s="2">
        <v>0</v>
      </c>
      <c r="Q60" s="2">
        <f t="shared" si="2"/>
        <v>0</v>
      </c>
      <c r="R60" s="2"/>
      <c r="S60" s="2"/>
      <c r="T60" s="2"/>
    </row>
    <row r="61" spans="1:20" ht="15">
      <c r="A61" s="2" t="s">
        <v>127</v>
      </c>
      <c r="B61" s="2">
        <v>2018</v>
      </c>
      <c r="C61" s="6">
        <v>12840.814639130771</v>
      </c>
      <c r="D61" s="7">
        <v>1.1961416179647974E-2</v>
      </c>
      <c r="E61" s="10">
        <v>16.39</v>
      </c>
      <c r="F61" s="11">
        <v>15159721.487</v>
      </c>
      <c r="G61" s="11">
        <v>167639148.132</v>
      </c>
      <c r="H61" s="2">
        <f t="shared" si="0"/>
        <v>-152479426.64500001</v>
      </c>
      <c r="I61" s="15">
        <v>52</v>
      </c>
      <c r="J61" s="15">
        <v>139</v>
      </c>
      <c r="K61" s="2">
        <f t="shared" si="1"/>
        <v>0.37410071942446044</v>
      </c>
      <c r="L61" s="10">
        <v>10.6594535821754</v>
      </c>
      <c r="M61" s="14">
        <v>2.1027</v>
      </c>
      <c r="N61" s="2"/>
      <c r="O61" s="2">
        <v>0</v>
      </c>
      <c r="P61" s="2">
        <v>0</v>
      </c>
      <c r="Q61" s="2">
        <f t="shared" si="2"/>
        <v>0</v>
      </c>
      <c r="R61" s="2"/>
      <c r="S61" s="2"/>
      <c r="T61" s="2"/>
    </row>
    <row r="62" spans="1:20" ht="15">
      <c r="A62" s="2" t="s">
        <v>127</v>
      </c>
      <c r="B62" s="2">
        <v>2019</v>
      </c>
      <c r="C62" s="6">
        <v>14241.276130631986</v>
      </c>
      <c r="D62" s="7">
        <v>1.2918084233284766E-2</v>
      </c>
      <c r="E62" s="10">
        <v>20.34</v>
      </c>
      <c r="F62" s="11">
        <v>17817869.787999999</v>
      </c>
      <c r="G62" s="11">
        <v>152148184.72799999</v>
      </c>
      <c r="H62" s="2">
        <f t="shared" si="0"/>
        <v>-134330314.94</v>
      </c>
      <c r="I62" s="15">
        <v>493</v>
      </c>
      <c r="J62" s="15">
        <v>494</v>
      </c>
      <c r="K62" s="2">
        <f t="shared" si="1"/>
        <v>0.99797570850202433</v>
      </c>
      <c r="L62" s="10">
        <v>10.420756670246</v>
      </c>
      <c r="M62" s="14">
        <v>2.1403599999999998</v>
      </c>
      <c r="N62" s="2"/>
      <c r="O62" s="2">
        <v>0</v>
      </c>
      <c r="P62" s="2">
        <v>0</v>
      </c>
      <c r="Q62" s="2">
        <f t="shared" si="2"/>
        <v>0</v>
      </c>
      <c r="R62" s="2"/>
      <c r="S62" s="2"/>
      <c r="T62" s="2"/>
    </row>
    <row r="63" spans="1:20" ht="15">
      <c r="A63" s="2" t="s">
        <v>127</v>
      </c>
      <c r="B63" s="2">
        <v>2020</v>
      </c>
      <c r="C63" s="6">
        <v>15060.831382642258</v>
      </c>
      <c r="D63" s="7">
        <v>1.4060771890459213E-2</v>
      </c>
      <c r="E63" s="10">
        <v>22.13</v>
      </c>
      <c r="F63" s="11">
        <v>33381184.092999998</v>
      </c>
      <c r="G63" s="11">
        <v>167171114.389</v>
      </c>
      <c r="H63" s="2">
        <f t="shared" si="0"/>
        <v>-133789930.296</v>
      </c>
      <c r="I63" s="15">
        <v>573</v>
      </c>
      <c r="J63" s="15">
        <v>575</v>
      </c>
      <c r="K63" s="2">
        <f t="shared" si="1"/>
        <v>0.99652173913043474</v>
      </c>
      <c r="L63" s="10">
        <v>10.484002336909301</v>
      </c>
      <c r="M63" s="14">
        <v>2.2651400000000002</v>
      </c>
      <c r="N63" s="2"/>
      <c r="O63" s="2">
        <v>0</v>
      </c>
      <c r="P63" s="2">
        <v>0</v>
      </c>
      <c r="Q63" s="2">
        <f t="shared" si="2"/>
        <v>0</v>
      </c>
      <c r="R63" s="2"/>
      <c r="S63" s="2"/>
      <c r="T63" s="2"/>
    </row>
    <row r="64" spans="1:20" ht="15">
      <c r="A64" s="2" t="s">
        <v>127</v>
      </c>
      <c r="B64" s="2">
        <v>2021</v>
      </c>
      <c r="C64" s="6">
        <v>15553.679294341648</v>
      </c>
      <c r="D64" s="7">
        <v>1.3653749088665807E-2</v>
      </c>
      <c r="E64" s="10">
        <v>23.85</v>
      </c>
      <c r="F64" s="11">
        <v>46210062.494999997</v>
      </c>
      <c r="G64" s="11">
        <v>169641055.32300001</v>
      </c>
      <c r="H64" s="2">
        <f t="shared" si="0"/>
        <v>-123430992.82800001</v>
      </c>
      <c r="I64" s="15">
        <v>505</v>
      </c>
      <c r="J64" s="15">
        <v>512</v>
      </c>
      <c r="K64" s="2">
        <f t="shared" si="1"/>
        <v>0.986328125</v>
      </c>
      <c r="L64" s="10">
        <v>10.754977286747801</v>
      </c>
      <c r="M64" s="14">
        <v>2.2154199999999999</v>
      </c>
      <c r="N64" s="2"/>
      <c r="O64" s="2">
        <v>0</v>
      </c>
      <c r="P64" s="2">
        <v>0</v>
      </c>
      <c r="Q64" s="2">
        <f t="shared" si="2"/>
        <v>0</v>
      </c>
      <c r="R64" s="2"/>
      <c r="S64" s="2"/>
      <c r="T64" s="2"/>
    </row>
    <row r="65" spans="1:20" ht="15">
      <c r="A65" s="2" t="s">
        <v>127</v>
      </c>
      <c r="B65" s="2">
        <v>2022</v>
      </c>
      <c r="C65" s="6">
        <v>15055.319533677377</v>
      </c>
      <c r="D65" s="7">
        <v>1.3041999557263892E-2</v>
      </c>
      <c r="E65" s="10">
        <v>14.78</v>
      </c>
      <c r="F65" s="11">
        <v>69378575.748999998</v>
      </c>
      <c r="G65" s="11">
        <v>138301251.995</v>
      </c>
      <c r="H65" s="2">
        <f t="shared" si="0"/>
        <v>-68922676.246000007</v>
      </c>
      <c r="I65" s="15">
        <v>708</v>
      </c>
      <c r="J65" s="15">
        <v>725</v>
      </c>
      <c r="K65" s="2">
        <f t="shared" si="1"/>
        <v>0.97655172413793101</v>
      </c>
      <c r="L65" s="10">
        <v>10.3475478456863</v>
      </c>
      <c r="M65" s="14">
        <v>2.1752899999999999</v>
      </c>
      <c r="N65" s="2"/>
      <c r="O65" s="2">
        <v>0</v>
      </c>
      <c r="P65" s="2">
        <v>1</v>
      </c>
      <c r="Q65" s="2">
        <f t="shared" si="2"/>
        <v>0</v>
      </c>
      <c r="R65" s="2"/>
      <c r="S65" s="2"/>
      <c r="T65" s="2"/>
    </row>
    <row r="66" spans="1:20" ht="15">
      <c r="A66" s="2" t="s">
        <v>127</v>
      </c>
      <c r="B66" s="2">
        <v>2023</v>
      </c>
      <c r="C66" s="6">
        <v>17213.78570401574</v>
      </c>
      <c r="D66" s="7">
        <v>1.4414119908317638E-2</v>
      </c>
      <c r="E66" s="10">
        <v>23.87</v>
      </c>
      <c r="F66" s="11">
        <v>91556368.497999996</v>
      </c>
      <c r="G66" s="11">
        <v>283640141.45999998</v>
      </c>
      <c r="H66" s="2">
        <f t="shared" ref="H66:H129" si="3">F66-G66</f>
        <v>-192083772.96199998</v>
      </c>
      <c r="I66" s="15">
        <v>356</v>
      </c>
      <c r="J66" s="15">
        <v>374</v>
      </c>
      <c r="K66" s="2">
        <f t="shared" ref="K66:K129" si="4">IFERROR(I66/J66,"")</f>
        <v>0.95187165775401072</v>
      </c>
      <c r="L66" s="10">
        <v>10.4715307489623</v>
      </c>
      <c r="M66" s="14">
        <v>2.2671899999999998</v>
      </c>
      <c r="N66" s="2"/>
      <c r="O66" s="2">
        <v>0</v>
      </c>
      <c r="P66" s="2">
        <v>1</v>
      </c>
      <c r="Q66" s="2">
        <f t="shared" ref="Q66:Q129" si="5">O66*P66</f>
        <v>0</v>
      </c>
      <c r="R66" s="2"/>
      <c r="S66" s="2"/>
      <c r="T66" s="2"/>
    </row>
    <row r="67" spans="1:20" ht="15">
      <c r="A67" s="2" t="s">
        <v>127</v>
      </c>
      <c r="B67" s="2">
        <v>2024</v>
      </c>
      <c r="C67" s="6">
        <v>23577.493750781268</v>
      </c>
      <c r="D67" s="7">
        <v>1.9406499480159187E-2</v>
      </c>
      <c r="E67" s="10">
        <v>23.27</v>
      </c>
      <c r="F67" s="11">
        <v>95845740.062999994</v>
      </c>
      <c r="G67" s="11">
        <v>259448251.222</v>
      </c>
      <c r="H67" s="2">
        <f t="shared" si="3"/>
        <v>-163602511.15900001</v>
      </c>
      <c r="I67" s="15">
        <v>282</v>
      </c>
      <c r="J67" s="15">
        <v>333</v>
      </c>
      <c r="K67" s="2">
        <f t="shared" si="4"/>
        <v>0.84684684684684686</v>
      </c>
      <c r="L67" s="10">
        <v>10.068251936150901</v>
      </c>
      <c r="M67" s="14"/>
      <c r="N67" s="2"/>
      <c r="O67" s="2">
        <v>0</v>
      </c>
      <c r="P67" s="2">
        <v>1</v>
      </c>
      <c r="Q67" s="2">
        <f t="shared" si="5"/>
        <v>0</v>
      </c>
      <c r="R67" s="2"/>
      <c r="S67" s="2"/>
      <c r="T67" s="2"/>
    </row>
    <row r="68" spans="1:20" ht="15">
      <c r="A68" s="2" t="s">
        <v>128</v>
      </c>
      <c r="B68" s="2">
        <v>2014</v>
      </c>
      <c r="C68" s="6">
        <v>5573.4591283348436</v>
      </c>
      <c r="D68" s="7">
        <v>9.6627232976827498E-3</v>
      </c>
      <c r="E68" s="10">
        <v>3.52</v>
      </c>
      <c r="F68" s="11">
        <v>22084388.260000002</v>
      </c>
      <c r="G68" s="11">
        <v>28776570.537</v>
      </c>
      <c r="H68" s="2">
        <f t="shared" si="3"/>
        <v>-6692182.2769999988</v>
      </c>
      <c r="I68" s="15">
        <v>0</v>
      </c>
      <c r="J68" s="15">
        <v>99</v>
      </c>
      <c r="K68" s="2">
        <f t="shared" si="4"/>
        <v>0</v>
      </c>
      <c r="L68" s="10">
        <v>12.5837894914118</v>
      </c>
      <c r="M68" s="14">
        <v>2.3585799999999999</v>
      </c>
      <c r="N68" s="2"/>
      <c r="O68" s="2">
        <v>0</v>
      </c>
      <c r="P68" s="2">
        <v>0</v>
      </c>
      <c r="Q68" s="2">
        <f t="shared" si="5"/>
        <v>0</v>
      </c>
      <c r="R68" s="2"/>
      <c r="S68" s="2"/>
      <c r="T68" s="2"/>
    </row>
    <row r="69" spans="1:20" ht="15">
      <c r="A69" s="2" t="s">
        <v>128</v>
      </c>
      <c r="B69" s="2">
        <v>2015</v>
      </c>
      <c r="C69" s="6">
        <v>5366.7101634569999</v>
      </c>
      <c r="D69" s="7">
        <v>9.1182996500921692E-3</v>
      </c>
      <c r="E69" s="10">
        <v>3.44</v>
      </c>
      <c r="F69" s="11">
        <v>23956642.559</v>
      </c>
      <c r="G69" s="11">
        <v>27314534.962000001</v>
      </c>
      <c r="H69" s="2">
        <f t="shared" si="3"/>
        <v>-3357892.4030000009</v>
      </c>
      <c r="I69" s="15">
        <v>5</v>
      </c>
      <c r="J69" s="15">
        <v>52</v>
      </c>
      <c r="K69" s="2">
        <f t="shared" si="4"/>
        <v>9.6153846153846159E-2</v>
      </c>
      <c r="L69" s="10">
        <v>12.567731471008701</v>
      </c>
      <c r="M69" s="14">
        <v>2.4349599999999998</v>
      </c>
      <c r="N69" s="2"/>
      <c r="O69" s="2">
        <v>0</v>
      </c>
      <c r="P69" s="2">
        <v>0</v>
      </c>
      <c r="Q69" s="2">
        <f t="shared" si="5"/>
        <v>0</v>
      </c>
      <c r="R69" s="2"/>
      <c r="S69" s="2"/>
      <c r="T69" s="2"/>
    </row>
    <row r="70" spans="1:20" ht="15">
      <c r="A70" s="2" t="s">
        <v>128</v>
      </c>
      <c r="B70" s="2">
        <v>2016</v>
      </c>
      <c r="C70" s="6">
        <v>5344.7792386359688</v>
      </c>
      <c r="D70" s="7">
        <v>8.9808529056256605E-3</v>
      </c>
      <c r="E70" s="10">
        <v>4.72</v>
      </c>
      <c r="F70" s="11">
        <v>5073561.7790000001</v>
      </c>
      <c r="G70" s="11">
        <v>6679772.2810000004</v>
      </c>
      <c r="H70" s="2">
        <f t="shared" si="3"/>
        <v>-1606210.5020000003</v>
      </c>
      <c r="I70" s="15">
        <v>4</v>
      </c>
      <c r="J70" s="15">
        <v>4</v>
      </c>
      <c r="K70" s="2">
        <f t="shared" si="4"/>
        <v>1</v>
      </c>
      <c r="L70" s="10">
        <v>12.248408337536301</v>
      </c>
      <c r="M70" s="14">
        <v>2.5329100000000002</v>
      </c>
      <c r="N70" s="2"/>
      <c r="O70" s="2">
        <v>0</v>
      </c>
      <c r="P70" s="2">
        <v>0</v>
      </c>
      <c r="Q70" s="2">
        <f t="shared" si="5"/>
        <v>0</v>
      </c>
      <c r="R70" s="2"/>
      <c r="S70" s="2"/>
      <c r="T70" s="2"/>
    </row>
    <row r="71" spans="1:20" ht="15">
      <c r="A71" s="2" t="s">
        <v>128</v>
      </c>
      <c r="B71" s="2">
        <v>2017</v>
      </c>
      <c r="C71" s="6">
        <v>5348.1693838229594</v>
      </c>
      <c r="D71" s="7">
        <v>8.868372006588977E-3</v>
      </c>
      <c r="E71" s="10">
        <v>6.52</v>
      </c>
      <c r="F71" s="11">
        <v>20974759.655000001</v>
      </c>
      <c r="G71" s="11">
        <v>20794290.530999999</v>
      </c>
      <c r="H71" s="2">
        <f t="shared" si="3"/>
        <v>180469.1240000017</v>
      </c>
      <c r="I71" s="15">
        <v>7</v>
      </c>
      <c r="J71" s="15">
        <v>7</v>
      </c>
      <c r="K71" s="2">
        <f t="shared" si="4"/>
        <v>1</v>
      </c>
      <c r="L71" s="10">
        <v>12.445828574727701</v>
      </c>
      <c r="M71" s="14">
        <v>2.6765400000000001</v>
      </c>
      <c r="N71" s="2"/>
      <c r="O71" s="2">
        <v>0</v>
      </c>
      <c r="P71" s="2">
        <v>0</v>
      </c>
      <c r="Q71" s="2">
        <f t="shared" si="5"/>
        <v>0</v>
      </c>
      <c r="R71" s="2"/>
      <c r="S71" s="2"/>
      <c r="T71" s="2"/>
    </row>
    <row r="72" spans="1:20" ht="15">
      <c r="A72" s="2" t="s">
        <v>128</v>
      </c>
      <c r="B72" s="2">
        <v>2018</v>
      </c>
      <c r="C72" s="6">
        <v>5464.9982889927442</v>
      </c>
      <c r="D72" s="7">
        <v>8.9244247666661301E-3</v>
      </c>
      <c r="E72" s="10">
        <v>10.15</v>
      </c>
      <c r="F72" s="11">
        <v>16838300.574999999</v>
      </c>
      <c r="G72" s="11">
        <v>18096791.666999999</v>
      </c>
      <c r="H72" s="2">
        <f t="shared" si="3"/>
        <v>-1258491.0920000002</v>
      </c>
      <c r="I72" s="15">
        <v>1</v>
      </c>
      <c r="J72" s="15">
        <v>1</v>
      </c>
      <c r="K72" s="2">
        <f t="shared" si="4"/>
        <v>1</v>
      </c>
      <c r="L72" s="10">
        <v>12.343919956786999</v>
      </c>
      <c r="M72" s="14">
        <v>2.8636499999999998</v>
      </c>
      <c r="N72" s="2"/>
      <c r="O72" s="2">
        <v>0</v>
      </c>
      <c r="P72" s="2">
        <v>0</v>
      </c>
      <c r="Q72" s="2">
        <f t="shared" si="5"/>
        <v>0</v>
      </c>
      <c r="R72" s="2"/>
      <c r="S72" s="2"/>
      <c r="T72" s="2"/>
    </row>
    <row r="73" spans="1:20" ht="15">
      <c r="A73" s="2" t="s">
        <v>128</v>
      </c>
      <c r="B73" s="2">
        <v>2019</v>
      </c>
      <c r="C73" s="6">
        <v>5587.2892530298905</v>
      </c>
      <c r="D73" s="7">
        <v>8.8700495093388208E-3</v>
      </c>
      <c r="E73" s="10">
        <v>11.06</v>
      </c>
      <c r="F73" s="11">
        <v>14317642.721999999</v>
      </c>
      <c r="G73" s="11">
        <v>31304368.949000001</v>
      </c>
      <c r="H73" s="2">
        <f t="shared" si="3"/>
        <v>-16986726.227000002</v>
      </c>
      <c r="I73" s="15">
        <v>4</v>
      </c>
      <c r="J73" s="15">
        <v>9</v>
      </c>
      <c r="K73" s="2">
        <f t="shared" si="4"/>
        <v>0.44444444444444442</v>
      </c>
      <c r="L73" s="10">
        <v>12.413251241175001</v>
      </c>
      <c r="M73" s="14">
        <v>3.1515399999999998</v>
      </c>
      <c r="N73" s="2"/>
      <c r="O73" s="2">
        <v>0</v>
      </c>
      <c r="P73" s="2">
        <v>0</v>
      </c>
      <c r="Q73" s="2">
        <f t="shared" si="5"/>
        <v>0</v>
      </c>
      <c r="R73" s="2"/>
      <c r="S73" s="2"/>
      <c r="T73" s="2"/>
    </row>
    <row r="74" spans="1:20" ht="15">
      <c r="A74" s="2" t="s">
        <v>128</v>
      </c>
      <c r="B74" s="2">
        <v>2020</v>
      </c>
      <c r="C74" s="6">
        <v>6083.9088134173053</v>
      </c>
      <c r="D74" s="7">
        <v>1.0059279669322475E-2</v>
      </c>
      <c r="E74" s="10">
        <v>13.88</v>
      </c>
      <c r="F74" s="11">
        <v>12068864.76</v>
      </c>
      <c r="G74" s="11">
        <v>21930471.353</v>
      </c>
      <c r="H74" s="2">
        <f t="shared" si="3"/>
        <v>-9861606.5930000003</v>
      </c>
      <c r="I74" s="15">
        <v>5</v>
      </c>
      <c r="J74" s="15">
        <v>90</v>
      </c>
      <c r="K74" s="2">
        <f t="shared" si="4"/>
        <v>5.5555555555555552E-2</v>
      </c>
      <c r="L74" s="10">
        <v>12.012009033297799</v>
      </c>
      <c r="M74" s="14">
        <v>3.3682300000000001</v>
      </c>
      <c r="N74" s="2"/>
      <c r="O74" s="2">
        <v>0</v>
      </c>
      <c r="P74" s="2">
        <v>0</v>
      </c>
      <c r="Q74" s="2">
        <f t="shared" si="5"/>
        <v>0</v>
      </c>
      <c r="R74" s="2"/>
      <c r="S74" s="2"/>
      <c r="T74" s="2"/>
    </row>
    <row r="75" spans="1:20" ht="15">
      <c r="A75" s="2" t="s">
        <v>128</v>
      </c>
      <c r="B75" s="2">
        <v>2021</v>
      </c>
      <c r="C75" s="6">
        <v>6716.8432227563226</v>
      </c>
      <c r="D75" s="7">
        <v>1.0425904935349905E-2</v>
      </c>
      <c r="E75" s="10">
        <v>19.47</v>
      </c>
      <c r="F75" s="11">
        <v>16117638.256999999</v>
      </c>
      <c r="G75" s="11">
        <v>22080419.614999998</v>
      </c>
      <c r="H75" s="2">
        <f t="shared" si="3"/>
        <v>-5962781.3579999991</v>
      </c>
      <c r="I75" s="15">
        <v>0</v>
      </c>
      <c r="J75" s="15">
        <v>255</v>
      </c>
      <c r="K75" s="2">
        <f t="shared" si="4"/>
        <v>0</v>
      </c>
      <c r="L75" s="10">
        <v>10.744807994195</v>
      </c>
      <c r="M75" s="14">
        <v>3.4058899999999999</v>
      </c>
      <c r="N75" s="2"/>
      <c r="O75" s="2">
        <v>0</v>
      </c>
      <c r="P75" s="2">
        <v>0</v>
      </c>
      <c r="Q75" s="2">
        <f t="shared" si="5"/>
        <v>0</v>
      </c>
      <c r="R75" s="2"/>
      <c r="S75" s="2"/>
      <c r="T75" s="2"/>
    </row>
    <row r="76" spans="1:20" ht="15">
      <c r="A76" s="2" t="s">
        <v>128</v>
      </c>
      <c r="B76" s="2">
        <v>2022</v>
      </c>
      <c r="C76" s="6">
        <v>7609.6963944797535</v>
      </c>
      <c r="D76" s="7">
        <v>1.1670931399473124E-2</v>
      </c>
      <c r="E76" s="10">
        <v>20.36</v>
      </c>
      <c r="F76" s="11">
        <v>17337554.124000002</v>
      </c>
      <c r="G76" s="11">
        <v>22799736.644000001</v>
      </c>
      <c r="H76" s="2">
        <f t="shared" si="3"/>
        <v>-5462182.5199999996</v>
      </c>
      <c r="I76" s="15">
        <v>0</v>
      </c>
      <c r="J76" s="15">
        <v>170</v>
      </c>
      <c r="K76" s="2">
        <f t="shared" si="4"/>
        <v>0</v>
      </c>
      <c r="L76" s="10">
        <v>12.5330054331918</v>
      </c>
      <c r="M76" s="14">
        <v>3.1959200000000001</v>
      </c>
      <c r="N76" s="2"/>
      <c r="O76" s="2">
        <v>0</v>
      </c>
      <c r="P76" s="2">
        <v>1</v>
      </c>
      <c r="Q76" s="2">
        <f t="shared" si="5"/>
        <v>0</v>
      </c>
      <c r="R76" s="2"/>
      <c r="S76" s="2"/>
      <c r="T76" s="2"/>
    </row>
    <row r="77" spans="1:20" ht="15">
      <c r="A77" s="2" t="s">
        <v>128</v>
      </c>
      <c r="B77" s="2">
        <v>2023</v>
      </c>
      <c r="C77" s="6">
        <v>7883.8288665801483</v>
      </c>
      <c r="D77" s="7">
        <v>1.1723236787370287E-2</v>
      </c>
      <c r="E77" s="10">
        <v>20.22</v>
      </c>
      <c r="F77" s="11">
        <v>20331972.998</v>
      </c>
      <c r="G77" s="11">
        <v>27611588.329999998</v>
      </c>
      <c r="H77" s="2">
        <f t="shared" si="3"/>
        <v>-7279615.3319999985</v>
      </c>
      <c r="I77" s="15">
        <v>12</v>
      </c>
      <c r="J77" s="15">
        <v>12</v>
      </c>
      <c r="K77" s="2">
        <f t="shared" si="4"/>
        <v>1</v>
      </c>
      <c r="L77" s="10">
        <v>11.9630536593156</v>
      </c>
      <c r="M77" s="14">
        <v>3.2723499999999999</v>
      </c>
      <c r="N77" s="2"/>
      <c r="O77" s="2">
        <v>0</v>
      </c>
      <c r="P77" s="2">
        <v>1</v>
      </c>
      <c r="Q77" s="2">
        <f t="shared" si="5"/>
        <v>0</v>
      </c>
      <c r="R77" s="2"/>
      <c r="S77" s="2"/>
      <c r="T77" s="2"/>
    </row>
    <row r="78" spans="1:20" ht="15">
      <c r="A78" s="2" t="s">
        <v>128</v>
      </c>
      <c r="B78" s="2">
        <v>2024</v>
      </c>
      <c r="C78" s="6">
        <v>8566.8249340625061</v>
      </c>
      <c r="D78" s="7">
        <v>1.2760212539083673E-2</v>
      </c>
      <c r="E78" s="10">
        <v>15.16</v>
      </c>
      <c r="F78" s="11">
        <v>13051349.214</v>
      </c>
      <c r="G78" s="11">
        <v>21738467.331999999</v>
      </c>
      <c r="H78" s="2">
        <f t="shared" si="3"/>
        <v>-8687118.1179999989</v>
      </c>
      <c r="I78" s="15">
        <v>423</v>
      </c>
      <c r="J78" s="15">
        <v>508</v>
      </c>
      <c r="K78" s="2">
        <f t="shared" si="4"/>
        <v>0.83267716535433067</v>
      </c>
      <c r="L78" s="10">
        <v>11.4375020757029</v>
      </c>
      <c r="M78" s="14"/>
      <c r="N78" s="2"/>
      <c r="O78" s="2">
        <v>0</v>
      </c>
      <c r="P78" s="2">
        <v>1</v>
      </c>
      <c r="Q78" s="2">
        <f t="shared" si="5"/>
        <v>0</v>
      </c>
      <c r="R78" s="2"/>
      <c r="S78" s="2"/>
      <c r="T78" s="2"/>
    </row>
    <row r="79" spans="1:20" ht="15">
      <c r="A79" s="2" t="s">
        <v>129</v>
      </c>
      <c r="B79" s="2">
        <v>2014</v>
      </c>
      <c r="C79" s="6">
        <v>5874.4118964601521</v>
      </c>
      <c r="D79" s="7">
        <v>1.4622794277646487E-2</v>
      </c>
      <c r="E79" s="10">
        <v>20.420000000000002</v>
      </c>
      <c r="F79" s="11">
        <v>210333628</v>
      </c>
      <c r="G79" s="11">
        <v>158955704</v>
      </c>
      <c r="H79" s="2">
        <f t="shared" si="3"/>
        <v>51377924</v>
      </c>
      <c r="I79" s="15">
        <v>1</v>
      </c>
      <c r="J79" s="15">
        <v>16</v>
      </c>
      <c r="K79" s="2">
        <f t="shared" si="4"/>
        <v>6.25E-2</v>
      </c>
      <c r="L79" s="10">
        <v>6.8871102823223396</v>
      </c>
      <c r="M79" s="14">
        <v>1.7036899999999999</v>
      </c>
      <c r="N79" s="2"/>
      <c r="O79" s="2">
        <v>0</v>
      </c>
      <c r="P79" s="2">
        <v>0</v>
      </c>
      <c r="Q79" s="2">
        <f t="shared" si="5"/>
        <v>0</v>
      </c>
      <c r="R79" s="2"/>
      <c r="S79" s="2"/>
      <c r="T79" s="2"/>
    </row>
    <row r="80" spans="1:20" ht="15">
      <c r="A80" s="2" t="s">
        <v>129</v>
      </c>
      <c r="B80" s="2">
        <v>2015</v>
      </c>
      <c r="C80" s="6">
        <v>5831.6571074059784</v>
      </c>
      <c r="D80" s="7">
        <v>1.4981232726648889E-2</v>
      </c>
      <c r="E80" s="10">
        <v>21.83</v>
      </c>
      <c r="F80" s="11">
        <v>221481530.185</v>
      </c>
      <c r="G80" s="11">
        <v>102845906.344</v>
      </c>
      <c r="H80" s="2">
        <f t="shared" si="3"/>
        <v>118635623.84100001</v>
      </c>
      <c r="I80" s="15">
        <v>112</v>
      </c>
      <c r="J80" s="15">
        <v>143</v>
      </c>
      <c r="K80" s="2">
        <f t="shared" si="4"/>
        <v>0.78321678321678323</v>
      </c>
      <c r="L80" s="10">
        <v>6.9615738121381403</v>
      </c>
      <c r="M80" s="14">
        <v>1.9235100000000001</v>
      </c>
      <c r="N80" s="2"/>
      <c r="O80" s="2">
        <v>0</v>
      </c>
      <c r="P80" s="2">
        <v>0</v>
      </c>
      <c r="Q80" s="2">
        <f t="shared" si="5"/>
        <v>0</v>
      </c>
      <c r="R80" s="2"/>
      <c r="S80" s="2"/>
      <c r="T80" s="2"/>
    </row>
    <row r="81" spans="1:20" ht="15">
      <c r="A81" s="2" t="s">
        <v>129</v>
      </c>
      <c r="B81" s="2">
        <v>2016</v>
      </c>
      <c r="C81" s="6">
        <v>6052.4231353451059</v>
      </c>
      <c r="D81" s="7">
        <v>1.6173438359967072E-2</v>
      </c>
      <c r="E81" s="10">
        <v>23.37</v>
      </c>
      <c r="F81" s="11">
        <v>144200388</v>
      </c>
      <c r="G81" s="11">
        <v>152975365</v>
      </c>
      <c r="H81" s="2">
        <f t="shared" si="3"/>
        <v>-8774977</v>
      </c>
      <c r="I81" s="15">
        <v>112</v>
      </c>
      <c r="J81" s="15">
        <v>142</v>
      </c>
      <c r="K81" s="2">
        <f t="shared" si="4"/>
        <v>0.78873239436619713</v>
      </c>
      <c r="L81" s="10">
        <v>6.6696940181994098</v>
      </c>
      <c r="M81" s="14">
        <v>2.0328599999999999</v>
      </c>
      <c r="N81" s="2"/>
      <c r="O81" s="2">
        <v>0</v>
      </c>
      <c r="P81" s="2">
        <v>0</v>
      </c>
      <c r="Q81" s="2">
        <f t="shared" si="5"/>
        <v>0</v>
      </c>
      <c r="R81" s="2"/>
      <c r="S81" s="2"/>
      <c r="T81" s="2"/>
    </row>
    <row r="82" spans="1:20" ht="15">
      <c r="A82" s="2" t="s">
        <v>129</v>
      </c>
      <c r="B82" s="2">
        <v>2017</v>
      </c>
      <c r="C82" s="6">
        <v>6679.8048699564742</v>
      </c>
      <c r="D82" s="7">
        <v>1.7051532859499088E-2</v>
      </c>
      <c r="E82" s="10">
        <v>24.63</v>
      </c>
      <c r="F82" s="11">
        <v>207558608.93399999</v>
      </c>
      <c r="G82" s="11">
        <v>88949332.650999993</v>
      </c>
      <c r="H82" s="2">
        <f t="shared" si="3"/>
        <v>118609276.28299999</v>
      </c>
      <c r="I82" s="15">
        <v>330</v>
      </c>
      <c r="J82" s="15">
        <v>353</v>
      </c>
      <c r="K82" s="2">
        <f t="shared" si="4"/>
        <v>0.93484419263456087</v>
      </c>
      <c r="L82" s="10">
        <v>6.4776806496819397</v>
      </c>
      <c r="M82" s="14">
        <v>2.08168</v>
      </c>
      <c r="N82" s="2"/>
      <c r="O82" s="2">
        <v>0</v>
      </c>
      <c r="P82" s="2">
        <v>0</v>
      </c>
      <c r="Q82" s="2">
        <f t="shared" si="5"/>
        <v>0</v>
      </c>
      <c r="R82" s="2"/>
      <c r="S82" s="2"/>
      <c r="T82" s="2"/>
    </row>
    <row r="83" spans="1:20" ht="15">
      <c r="A83" s="2" t="s">
        <v>129</v>
      </c>
      <c r="B83" s="2">
        <v>2018</v>
      </c>
      <c r="C83" s="6">
        <v>7037.5180460116881</v>
      </c>
      <c r="D83" s="7">
        <v>1.7152973747833474E-2</v>
      </c>
      <c r="E83" s="10">
        <v>25.6</v>
      </c>
      <c r="F83" s="11">
        <v>216135563.565</v>
      </c>
      <c r="G83" s="11">
        <v>84307792.067000002</v>
      </c>
      <c r="H83" s="2">
        <f t="shared" si="3"/>
        <v>131827771.498</v>
      </c>
      <c r="I83" s="15">
        <v>361</v>
      </c>
      <c r="J83" s="15">
        <v>520</v>
      </c>
      <c r="K83" s="2">
        <f t="shared" si="4"/>
        <v>0.69423076923076921</v>
      </c>
      <c r="L83" s="10">
        <v>6.10398590161945</v>
      </c>
      <c r="M83" s="14">
        <v>2.0348199999999999</v>
      </c>
      <c r="N83" s="2"/>
      <c r="O83" s="2">
        <v>0</v>
      </c>
      <c r="P83" s="2">
        <v>0</v>
      </c>
      <c r="Q83" s="2">
        <f t="shared" si="5"/>
        <v>0</v>
      </c>
      <c r="R83" s="2"/>
      <c r="S83" s="2"/>
      <c r="T83" s="2"/>
    </row>
    <row r="84" spans="1:20" ht="15">
      <c r="A84" s="2" t="s">
        <v>129</v>
      </c>
      <c r="B84" s="2">
        <v>2019</v>
      </c>
      <c r="C84" s="6">
        <v>7446.1144898916418</v>
      </c>
      <c r="D84" s="7">
        <v>1.8437353781842719E-2</v>
      </c>
      <c r="E84" s="10">
        <v>28.76</v>
      </c>
      <c r="F84" s="11">
        <v>156042719.34400001</v>
      </c>
      <c r="G84" s="11">
        <v>94591001.980000004</v>
      </c>
      <c r="H84" s="2">
        <f t="shared" si="3"/>
        <v>61451717.364000008</v>
      </c>
      <c r="I84" s="15">
        <v>333</v>
      </c>
      <c r="J84" s="15">
        <v>389</v>
      </c>
      <c r="K84" s="2">
        <f t="shared" si="4"/>
        <v>0.85604113110539848</v>
      </c>
      <c r="L84" s="10">
        <v>6.2760621050632803</v>
      </c>
      <c r="M84" s="14">
        <v>2.1359900000000001</v>
      </c>
      <c r="N84" s="2"/>
      <c r="O84" s="2">
        <v>0</v>
      </c>
      <c r="P84" s="2">
        <v>0</v>
      </c>
      <c r="Q84" s="2">
        <f t="shared" si="5"/>
        <v>0</v>
      </c>
      <c r="R84" s="2"/>
      <c r="S84" s="2"/>
      <c r="T84" s="2"/>
    </row>
    <row r="85" spans="1:20" ht="15">
      <c r="A85" s="2" t="s">
        <v>129</v>
      </c>
      <c r="B85" s="2">
        <v>2020</v>
      </c>
      <c r="C85" s="6">
        <v>7543.9711291657823</v>
      </c>
      <c r="D85" s="7">
        <v>1.9659836923943581E-2</v>
      </c>
      <c r="E85" s="10">
        <v>28.41</v>
      </c>
      <c r="F85" s="11">
        <v>150563377.50999999</v>
      </c>
      <c r="G85" s="11">
        <v>88949695.461999997</v>
      </c>
      <c r="H85" s="2">
        <f t="shared" si="3"/>
        <v>61613682.047999993</v>
      </c>
      <c r="I85" s="15">
        <v>340</v>
      </c>
      <c r="J85" s="15">
        <v>459</v>
      </c>
      <c r="K85" s="2">
        <f t="shared" si="4"/>
        <v>0.7407407407407407</v>
      </c>
      <c r="L85" s="10">
        <v>6.5879260163364899</v>
      </c>
      <c r="M85" s="14">
        <v>2.2443599999999999</v>
      </c>
      <c r="N85" s="2"/>
      <c r="O85" s="2">
        <v>0</v>
      </c>
      <c r="P85" s="2">
        <v>0</v>
      </c>
      <c r="Q85" s="2">
        <f t="shared" si="5"/>
        <v>0</v>
      </c>
      <c r="R85" s="2"/>
      <c r="S85" s="2"/>
      <c r="T85" s="2"/>
    </row>
    <row r="86" spans="1:20" ht="15">
      <c r="A86" s="2" t="s">
        <v>129</v>
      </c>
      <c r="B86" s="2">
        <v>2021</v>
      </c>
      <c r="C86" s="6">
        <v>7764.4342201827048</v>
      </c>
      <c r="D86" s="7">
        <v>1.6763218469489919E-2</v>
      </c>
      <c r="E86" s="10">
        <v>29.19</v>
      </c>
      <c r="F86" s="11">
        <v>231984972.961</v>
      </c>
      <c r="G86" s="11">
        <v>115987802.779</v>
      </c>
      <c r="H86" s="2">
        <f t="shared" si="3"/>
        <v>115997170.182</v>
      </c>
      <c r="I86" s="15">
        <v>464</v>
      </c>
      <c r="J86" s="15">
        <v>503</v>
      </c>
      <c r="K86" s="2">
        <f t="shared" si="4"/>
        <v>0.92246520874751492</v>
      </c>
      <c r="L86" s="10">
        <v>5.6152838701635197</v>
      </c>
      <c r="M86" s="14">
        <v>1.88764</v>
      </c>
      <c r="N86" s="2"/>
      <c r="O86" s="2">
        <v>0</v>
      </c>
      <c r="P86" s="2">
        <v>0</v>
      </c>
      <c r="Q86" s="2">
        <f t="shared" si="5"/>
        <v>0</v>
      </c>
      <c r="R86" s="2"/>
      <c r="S86" s="2"/>
      <c r="T86" s="2"/>
    </row>
    <row r="87" spans="1:20" ht="15">
      <c r="A87" s="2" t="s">
        <v>129</v>
      </c>
      <c r="B87" s="2">
        <v>2022</v>
      </c>
      <c r="C87" s="6">
        <v>8466.1198317239232</v>
      </c>
      <c r="D87" s="7">
        <v>1.4580566048103013E-2</v>
      </c>
      <c r="E87" s="10">
        <v>28.39</v>
      </c>
      <c r="F87" s="11">
        <v>262302989.33399999</v>
      </c>
      <c r="G87" s="11">
        <v>161535940.64700001</v>
      </c>
      <c r="H87" s="2">
        <f t="shared" si="3"/>
        <v>100767048.68699998</v>
      </c>
      <c r="I87" s="15">
        <v>692</v>
      </c>
      <c r="J87" s="15">
        <v>700</v>
      </c>
      <c r="K87" s="2">
        <f t="shared" si="4"/>
        <v>0.98857142857142855</v>
      </c>
      <c r="L87" s="10">
        <v>4.8834753061493297</v>
      </c>
      <c r="M87" s="14">
        <v>1.55081</v>
      </c>
      <c r="N87" s="2"/>
      <c r="O87" s="2">
        <v>0</v>
      </c>
      <c r="P87" s="2">
        <v>1</v>
      </c>
      <c r="Q87" s="2">
        <f t="shared" si="5"/>
        <v>0</v>
      </c>
      <c r="R87" s="2"/>
      <c r="S87" s="2"/>
      <c r="T87" s="2"/>
    </row>
    <row r="88" spans="1:20" ht="15">
      <c r="A88" s="2" t="s">
        <v>129</v>
      </c>
      <c r="B88" s="2">
        <v>2023</v>
      </c>
      <c r="C88" s="6">
        <v>8922.0245725522109</v>
      </c>
      <c r="D88" s="7">
        <v>1.8220116634934537E-2</v>
      </c>
      <c r="E88" s="10">
        <v>29.29</v>
      </c>
      <c r="F88" s="11">
        <v>331357687.05000001</v>
      </c>
      <c r="G88" s="11">
        <v>217760237.33000001</v>
      </c>
      <c r="H88" s="2">
        <f t="shared" si="3"/>
        <v>113597449.72</v>
      </c>
      <c r="I88" s="15">
        <v>185</v>
      </c>
      <c r="J88" s="15">
        <v>200</v>
      </c>
      <c r="K88" s="2">
        <f t="shared" si="4"/>
        <v>0.92500000000000004</v>
      </c>
      <c r="L88" s="10">
        <v>6.0475631076696397</v>
      </c>
      <c r="M88" s="14">
        <v>1.8514200000000001</v>
      </c>
      <c r="N88" s="2"/>
      <c r="O88" s="2">
        <v>0</v>
      </c>
      <c r="P88" s="2">
        <v>1</v>
      </c>
      <c r="Q88" s="2">
        <f t="shared" si="5"/>
        <v>0</v>
      </c>
      <c r="R88" s="2"/>
      <c r="S88" s="2"/>
      <c r="T88" s="2"/>
    </row>
    <row r="89" spans="1:20" ht="15">
      <c r="A89" s="2" t="s">
        <v>129</v>
      </c>
      <c r="B89" s="2">
        <v>2024</v>
      </c>
      <c r="C89" s="6">
        <v>10792.089957347844</v>
      </c>
      <c r="D89" s="7">
        <v>2.2316488877548155E-2</v>
      </c>
      <c r="E89" s="10">
        <v>27.33</v>
      </c>
      <c r="F89" s="11">
        <v>420805057.95700002</v>
      </c>
      <c r="G89" s="11">
        <v>203750001.794</v>
      </c>
      <c r="H89" s="2">
        <f t="shared" si="3"/>
        <v>217055056.16300002</v>
      </c>
      <c r="I89" s="15">
        <v>334</v>
      </c>
      <c r="J89" s="15">
        <v>379</v>
      </c>
      <c r="K89" s="2">
        <f t="shared" si="4"/>
        <v>0.8812664907651715</v>
      </c>
      <c r="L89" s="10">
        <v>6.1707776190844603</v>
      </c>
      <c r="M89" s="14"/>
      <c r="N89" s="2"/>
      <c r="O89" s="2">
        <v>0</v>
      </c>
      <c r="P89" s="2">
        <v>1</v>
      </c>
      <c r="Q89" s="2">
        <f t="shared" si="5"/>
        <v>0</v>
      </c>
      <c r="R89" s="2"/>
      <c r="S89" s="2"/>
      <c r="T89" s="2"/>
    </row>
    <row r="90" spans="1:20" ht="15">
      <c r="A90" s="2" t="s">
        <v>130</v>
      </c>
      <c r="B90" s="2">
        <v>2014</v>
      </c>
      <c r="C90" s="6">
        <v>3944.2173136637593</v>
      </c>
      <c r="D90" s="7">
        <v>1.1497978040996004E-2</v>
      </c>
      <c r="E90" s="10">
        <v>10.99</v>
      </c>
      <c r="F90" s="11">
        <v>15115083</v>
      </c>
      <c r="G90" s="11">
        <v>22452649</v>
      </c>
      <c r="H90" s="2">
        <f t="shared" si="3"/>
        <v>-7337566</v>
      </c>
      <c r="I90" s="15">
        <v>28</v>
      </c>
      <c r="J90" s="15">
        <v>176</v>
      </c>
      <c r="K90" s="2">
        <f t="shared" si="4"/>
        <v>0.15909090909090909</v>
      </c>
      <c r="L90" s="10">
        <v>11.8293905304366</v>
      </c>
      <c r="M90" s="14">
        <v>2.9154300000000002</v>
      </c>
      <c r="N90" s="2"/>
      <c r="O90" s="2">
        <v>0</v>
      </c>
      <c r="P90" s="2">
        <v>0</v>
      </c>
      <c r="Q90" s="2">
        <f t="shared" si="5"/>
        <v>0</v>
      </c>
      <c r="R90" s="2"/>
      <c r="S90" s="2"/>
      <c r="T90" s="2"/>
    </row>
    <row r="91" spans="1:20" ht="15">
      <c r="A91" s="2" t="s">
        <v>130</v>
      </c>
      <c r="B91" s="2">
        <v>2015</v>
      </c>
      <c r="C91" s="6">
        <v>3903.0154088049976</v>
      </c>
      <c r="D91" s="7">
        <v>1.1148130262441876E-2</v>
      </c>
      <c r="E91" s="10">
        <v>11.5</v>
      </c>
      <c r="F91" s="11">
        <v>17504438</v>
      </c>
      <c r="G91" s="11">
        <v>26388480</v>
      </c>
      <c r="H91" s="2">
        <f t="shared" si="3"/>
        <v>-8884042</v>
      </c>
      <c r="I91" s="15">
        <v>42</v>
      </c>
      <c r="J91" s="15">
        <v>42</v>
      </c>
      <c r="K91" s="2">
        <f t="shared" si="4"/>
        <v>1</v>
      </c>
      <c r="L91" s="10">
        <v>12.484534308924999</v>
      </c>
      <c r="M91" s="14">
        <v>3.0642200000000002</v>
      </c>
      <c r="N91" s="2"/>
      <c r="O91" s="2">
        <v>0</v>
      </c>
      <c r="P91" s="2">
        <v>0</v>
      </c>
      <c r="Q91" s="2">
        <f t="shared" si="5"/>
        <v>0</v>
      </c>
      <c r="R91" s="2"/>
      <c r="S91" s="2"/>
      <c r="T91" s="2"/>
    </row>
    <row r="92" spans="1:20" ht="15">
      <c r="A92" s="2" t="s">
        <v>130</v>
      </c>
      <c r="B92" s="2">
        <v>2016</v>
      </c>
      <c r="C92" s="6">
        <v>4161.1141473842827</v>
      </c>
      <c r="D92" s="7">
        <v>1.1510714656423809E-2</v>
      </c>
      <c r="E92" s="10">
        <v>13.68</v>
      </c>
      <c r="F92" s="11">
        <v>24097435.447000001</v>
      </c>
      <c r="G92" s="11">
        <v>24538588.938000001</v>
      </c>
      <c r="H92" s="2">
        <f t="shared" si="3"/>
        <v>-441153.49100000039</v>
      </c>
      <c r="I92" s="15">
        <v>103</v>
      </c>
      <c r="J92" s="15">
        <v>103</v>
      </c>
      <c r="K92" s="2">
        <f t="shared" si="4"/>
        <v>1</v>
      </c>
      <c r="L92" s="10">
        <v>12.9401692109791</v>
      </c>
      <c r="M92" s="14">
        <v>3.10209</v>
      </c>
      <c r="N92" s="2"/>
      <c r="O92" s="2">
        <v>0</v>
      </c>
      <c r="P92" s="2">
        <v>0</v>
      </c>
      <c r="Q92" s="2">
        <f t="shared" si="5"/>
        <v>0</v>
      </c>
      <c r="R92" s="2"/>
      <c r="S92" s="2"/>
      <c r="T92" s="2"/>
    </row>
    <row r="93" spans="1:20" ht="15">
      <c r="A93" s="2" t="s">
        <v>130</v>
      </c>
      <c r="B93" s="2">
        <v>2017</v>
      </c>
      <c r="C93" s="6">
        <v>4245.0437226673475</v>
      </c>
      <c r="D93" s="7">
        <v>1.1399854112558044E-2</v>
      </c>
      <c r="E93" s="10">
        <v>10.39</v>
      </c>
      <c r="F93" s="11">
        <v>21199282.646000002</v>
      </c>
      <c r="G93" s="11">
        <v>23064625.719999999</v>
      </c>
      <c r="H93" s="2">
        <f t="shared" si="3"/>
        <v>-1865343.0739999972</v>
      </c>
      <c r="I93" s="15">
        <v>53</v>
      </c>
      <c r="J93" s="15">
        <v>53</v>
      </c>
      <c r="K93" s="2">
        <f t="shared" si="4"/>
        <v>1</v>
      </c>
      <c r="L93" s="10">
        <v>13.0145483841175</v>
      </c>
      <c r="M93" s="14">
        <v>2.9357600000000001</v>
      </c>
      <c r="N93" s="2"/>
      <c r="O93" s="2">
        <v>0</v>
      </c>
      <c r="P93" s="2">
        <v>0</v>
      </c>
      <c r="Q93" s="2">
        <f t="shared" si="5"/>
        <v>0</v>
      </c>
      <c r="R93" s="2"/>
      <c r="S93" s="2"/>
      <c r="T93" s="2"/>
    </row>
    <row r="94" spans="1:20" ht="15">
      <c r="A94" s="2" t="s">
        <v>130</v>
      </c>
      <c r="B94" s="2">
        <v>2018</v>
      </c>
      <c r="C94" s="6">
        <v>4856.2096876192763</v>
      </c>
      <c r="D94" s="7">
        <v>1.283104892940236E-2</v>
      </c>
      <c r="E94" s="10">
        <v>11.66</v>
      </c>
      <c r="F94" s="11">
        <v>17441126.945</v>
      </c>
      <c r="G94" s="11">
        <v>27908067.952</v>
      </c>
      <c r="H94" s="2">
        <f t="shared" si="3"/>
        <v>-10466941.006999999</v>
      </c>
      <c r="I94" s="15">
        <v>36</v>
      </c>
      <c r="J94" s="15">
        <v>54</v>
      </c>
      <c r="K94" s="2">
        <f t="shared" si="4"/>
        <v>0.66666666666666663</v>
      </c>
      <c r="L94" s="10">
        <v>13.0043275494945</v>
      </c>
      <c r="M94" s="14">
        <v>2.9789500000000002</v>
      </c>
      <c r="N94" s="2"/>
      <c r="O94" s="2">
        <v>0</v>
      </c>
      <c r="P94" s="2">
        <v>0</v>
      </c>
      <c r="Q94" s="2">
        <f t="shared" si="5"/>
        <v>0</v>
      </c>
      <c r="R94" s="2"/>
      <c r="S94" s="2"/>
      <c r="T94" s="2"/>
    </row>
    <row r="95" spans="1:20" ht="15">
      <c r="A95" s="2" t="s">
        <v>130</v>
      </c>
      <c r="B95" s="2">
        <v>2019</v>
      </c>
      <c r="C95" s="6">
        <v>5010.8698643970511</v>
      </c>
      <c r="D95" s="7">
        <v>1.29920660644454E-2</v>
      </c>
      <c r="E95" s="10">
        <v>16.21</v>
      </c>
      <c r="F95" s="11">
        <v>17538337.813000001</v>
      </c>
      <c r="G95" s="11">
        <v>26398162.831</v>
      </c>
      <c r="H95" s="2">
        <f t="shared" si="3"/>
        <v>-8859825.0179999992</v>
      </c>
      <c r="I95" s="15">
        <v>4</v>
      </c>
      <c r="J95" s="15">
        <v>55</v>
      </c>
      <c r="K95" s="2">
        <f t="shared" si="4"/>
        <v>7.2727272727272724E-2</v>
      </c>
      <c r="L95" s="10">
        <v>13.402427865920201</v>
      </c>
      <c r="M95" s="14">
        <v>2.90605</v>
      </c>
      <c r="N95" s="2"/>
      <c r="O95" s="2">
        <v>0</v>
      </c>
      <c r="P95" s="2">
        <v>0</v>
      </c>
      <c r="Q95" s="2">
        <f t="shared" si="5"/>
        <v>0</v>
      </c>
      <c r="R95" s="2"/>
      <c r="S95" s="2"/>
      <c r="T95" s="2"/>
    </row>
    <row r="96" spans="1:20" ht="15">
      <c r="A96" s="2" t="s">
        <v>130</v>
      </c>
      <c r="B96" s="2">
        <v>2020</v>
      </c>
      <c r="C96" s="6">
        <v>5328.8263570017507</v>
      </c>
      <c r="D96" s="7">
        <v>1.373768853149729E-2</v>
      </c>
      <c r="E96" s="10">
        <v>17.649999999999999</v>
      </c>
      <c r="F96" s="11">
        <v>16144938.534</v>
      </c>
      <c r="G96" s="11">
        <v>22253985.463</v>
      </c>
      <c r="H96" s="2">
        <f t="shared" si="3"/>
        <v>-6109046.9289999995</v>
      </c>
      <c r="I96" s="15">
        <v>3</v>
      </c>
      <c r="J96" s="15">
        <v>63</v>
      </c>
      <c r="K96" s="2">
        <f t="shared" si="4"/>
        <v>4.7619047619047616E-2</v>
      </c>
      <c r="L96" s="10">
        <v>12.8371087335606</v>
      </c>
      <c r="M96" s="14">
        <v>2.9653299999999998</v>
      </c>
      <c r="N96" s="2"/>
      <c r="O96" s="2">
        <v>0</v>
      </c>
      <c r="P96" s="2">
        <v>0</v>
      </c>
      <c r="Q96" s="2">
        <f t="shared" si="5"/>
        <v>0</v>
      </c>
      <c r="R96" s="2"/>
      <c r="S96" s="2"/>
      <c r="T96" s="2"/>
    </row>
    <row r="97" spans="1:20" ht="15">
      <c r="A97" s="2" t="s">
        <v>130</v>
      </c>
      <c r="B97" s="2">
        <v>2021</v>
      </c>
      <c r="C97" s="6">
        <v>5428.1422603806968</v>
      </c>
      <c r="D97" s="7">
        <v>1.2987707220301181E-2</v>
      </c>
      <c r="E97" s="10">
        <v>17.190000000000001</v>
      </c>
      <c r="F97" s="11">
        <v>23682754.030000001</v>
      </c>
      <c r="G97" s="11">
        <v>39254513.045000002</v>
      </c>
      <c r="H97" s="2">
        <f t="shared" si="3"/>
        <v>-15571759.015000001</v>
      </c>
      <c r="I97" s="15">
        <v>220</v>
      </c>
      <c r="J97" s="15">
        <v>264</v>
      </c>
      <c r="K97" s="2">
        <f t="shared" si="4"/>
        <v>0.83333333333333337</v>
      </c>
      <c r="L97" s="10">
        <v>12.5543797574878</v>
      </c>
      <c r="M97" s="14">
        <v>2.7432300000000001</v>
      </c>
      <c r="N97" s="2"/>
      <c r="O97" s="2">
        <v>0</v>
      </c>
      <c r="P97" s="2">
        <v>0</v>
      </c>
      <c r="Q97" s="2">
        <f t="shared" si="5"/>
        <v>0</v>
      </c>
      <c r="R97" s="2"/>
      <c r="S97" s="2"/>
      <c r="T97" s="2"/>
    </row>
    <row r="98" spans="1:20" ht="15">
      <c r="A98" s="2" t="s">
        <v>130</v>
      </c>
      <c r="B98" s="2">
        <v>2022</v>
      </c>
      <c r="C98" s="6">
        <v>5886.0559220572231</v>
      </c>
      <c r="D98" s="7">
        <v>1.3677962735186991E-2</v>
      </c>
      <c r="E98" s="10">
        <v>18.72</v>
      </c>
      <c r="F98" s="11">
        <v>27585481.811000001</v>
      </c>
      <c r="G98" s="11">
        <v>31233196.395</v>
      </c>
      <c r="H98" s="2">
        <f t="shared" si="3"/>
        <v>-3647714.5839999989</v>
      </c>
      <c r="I98" s="15">
        <v>134</v>
      </c>
      <c r="J98" s="15">
        <v>214</v>
      </c>
      <c r="K98" s="2">
        <f t="shared" si="4"/>
        <v>0.62616822429906538</v>
      </c>
      <c r="L98" s="10">
        <v>12.8241154699449</v>
      </c>
      <c r="M98" s="14">
        <v>2.8670900000000001</v>
      </c>
      <c r="N98" s="2"/>
      <c r="O98" s="2">
        <v>0</v>
      </c>
      <c r="P98" s="2">
        <v>1</v>
      </c>
      <c r="Q98" s="2">
        <f t="shared" si="5"/>
        <v>0</v>
      </c>
      <c r="R98" s="2"/>
      <c r="S98" s="2"/>
      <c r="T98" s="2"/>
    </row>
    <row r="99" spans="1:20" ht="15">
      <c r="A99" s="2" t="s">
        <v>130</v>
      </c>
      <c r="B99" s="2">
        <v>2023</v>
      </c>
      <c r="C99" s="6">
        <v>8253.9629142530302</v>
      </c>
      <c r="D99" s="7">
        <v>2.0122457124644798E-2</v>
      </c>
      <c r="E99" s="10">
        <v>12.66</v>
      </c>
      <c r="F99" s="11">
        <v>80910247.272</v>
      </c>
      <c r="G99" s="11">
        <v>34964132.568000004</v>
      </c>
      <c r="H99" s="2">
        <f t="shared" si="3"/>
        <v>45946114.703999996</v>
      </c>
      <c r="I99" s="15">
        <v>232</v>
      </c>
      <c r="J99" s="15">
        <v>280</v>
      </c>
      <c r="K99" s="2">
        <f t="shared" si="4"/>
        <v>0.82857142857142863</v>
      </c>
      <c r="L99" s="10">
        <v>16.354273578354402</v>
      </c>
      <c r="M99" s="14">
        <v>3.0484100000000001</v>
      </c>
      <c r="N99" s="2"/>
      <c r="O99" s="2">
        <v>0</v>
      </c>
      <c r="P99" s="2">
        <v>1</v>
      </c>
      <c r="Q99" s="2">
        <f t="shared" si="5"/>
        <v>0</v>
      </c>
      <c r="R99" s="2"/>
      <c r="S99" s="2"/>
      <c r="T99" s="2"/>
    </row>
    <row r="100" spans="1:20" ht="15">
      <c r="A100" s="2" t="s">
        <v>130</v>
      </c>
      <c r="B100" s="2">
        <v>2024</v>
      </c>
      <c r="C100" s="6">
        <v>9637.1552975326576</v>
      </c>
      <c r="D100" s="7">
        <v>2.2686290435902711E-2</v>
      </c>
      <c r="E100" s="10">
        <v>30.82</v>
      </c>
      <c r="F100" s="11">
        <v>45817933.229000002</v>
      </c>
      <c r="G100" s="11">
        <v>25737052.101</v>
      </c>
      <c r="H100" s="2">
        <f t="shared" si="3"/>
        <v>20080881.128000002</v>
      </c>
      <c r="I100" s="15">
        <v>402</v>
      </c>
      <c r="J100" s="15">
        <v>440</v>
      </c>
      <c r="K100" s="2">
        <f t="shared" si="4"/>
        <v>0.91363636363636369</v>
      </c>
      <c r="L100" s="10">
        <v>17.8578664866005</v>
      </c>
      <c r="M100" s="14"/>
      <c r="N100" s="2"/>
      <c r="O100" s="2">
        <v>0</v>
      </c>
      <c r="P100" s="2">
        <v>1</v>
      </c>
      <c r="Q100" s="2">
        <f t="shared" si="5"/>
        <v>0</v>
      </c>
      <c r="R100" s="2"/>
      <c r="S100" s="2"/>
      <c r="T100" s="2"/>
    </row>
    <row r="101" spans="1:20" ht="15">
      <c r="A101" s="2" t="s">
        <v>131</v>
      </c>
      <c r="B101" s="2">
        <v>2014</v>
      </c>
      <c r="C101" s="6">
        <v>3969.5606010979018</v>
      </c>
      <c r="D101" s="7">
        <v>1.4592795900026719E-2</v>
      </c>
      <c r="E101" s="10">
        <v>13.68</v>
      </c>
      <c r="F101" s="11">
        <v>34961079</v>
      </c>
      <c r="G101" s="11">
        <v>21641852</v>
      </c>
      <c r="H101" s="2">
        <f t="shared" si="3"/>
        <v>13319227</v>
      </c>
      <c r="I101" s="15">
        <v>44</v>
      </c>
      <c r="J101" s="15">
        <v>182</v>
      </c>
      <c r="K101" s="2">
        <f t="shared" si="4"/>
        <v>0.24175824175824176</v>
      </c>
      <c r="L101" s="10">
        <v>14.6025114765247</v>
      </c>
      <c r="M101" s="14">
        <v>3.16344</v>
      </c>
      <c r="N101" s="2"/>
      <c r="O101" s="2">
        <v>1</v>
      </c>
      <c r="P101" s="2">
        <v>0</v>
      </c>
      <c r="Q101" s="2">
        <f t="shared" si="5"/>
        <v>0</v>
      </c>
      <c r="R101" s="2"/>
      <c r="S101" s="2"/>
      <c r="T101" s="2"/>
    </row>
    <row r="102" spans="1:20" ht="15">
      <c r="A102" s="2" t="s">
        <v>131</v>
      </c>
      <c r="B102" s="2">
        <v>2015</v>
      </c>
      <c r="C102" s="6">
        <v>4058.6065375794888</v>
      </c>
      <c r="D102" s="7">
        <v>1.4581906066834132E-2</v>
      </c>
      <c r="E102" s="10">
        <v>14.15</v>
      </c>
      <c r="F102" s="11">
        <v>30834465</v>
      </c>
      <c r="G102" s="11">
        <v>12605359</v>
      </c>
      <c r="H102" s="2">
        <f t="shared" si="3"/>
        <v>18229106</v>
      </c>
      <c r="I102" s="15">
        <v>98</v>
      </c>
      <c r="J102" s="15">
        <v>268</v>
      </c>
      <c r="K102" s="2">
        <f t="shared" si="4"/>
        <v>0.36567164179104478</v>
      </c>
      <c r="L102" s="10">
        <v>14.841192814188901</v>
      </c>
      <c r="M102" s="14">
        <v>2.8882599999999998</v>
      </c>
      <c r="N102" s="2"/>
      <c r="O102" s="2">
        <v>1</v>
      </c>
      <c r="P102" s="2">
        <v>0</v>
      </c>
      <c r="Q102" s="2">
        <f t="shared" si="5"/>
        <v>0</v>
      </c>
      <c r="R102" s="2"/>
      <c r="S102" s="2"/>
      <c r="T102" s="2"/>
    </row>
    <row r="103" spans="1:20" ht="15">
      <c r="A103" s="2" t="s">
        <v>131</v>
      </c>
      <c r="B103" s="2">
        <v>2016</v>
      </c>
      <c r="C103" s="6">
        <v>4074.5294239009622</v>
      </c>
      <c r="D103" s="7">
        <v>1.4315051664912825E-2</v>
      </c>
      <c r="E103" s="10">
        <v>14.04</v>
      </c>
      <c r="F103" s="11">
        <v>31883424</v>
      </c>
      <c r="G103" s="11">
        <v>16323216</v>
      </c>
      <c r="H103" s="2">
        <f t="shared" si="3"/>
        <v>15560208</v>
      </c>
      <c r="I103" s="15">
        <v>20</v>
      </c>
      <c r="J103" s="15">
        <v>122</v>
      </c>
      <c r="K103" s="2">
        <f t="shared" si="4"/>
        <v>0.16393442622950818</v>
      </c>
      <c r="L103" s="10">
        <v>14.7475627790114</v>
      </c>
      <c r="M103" s="14">
        <v>2.74716</v>
      </c>
      <c r="N103" s="2"/>
      <c r="O103" s="2">
        <v>1</v>
      </c>
      <c r="P103" s="2">
        <v>0</v>
      </c>
      <c r="Q103" s="2">
        <f t="shared" si="5"/>
        <v>0</v>
      </c>
      <c r="R103" s="2"/>
      <c r="S103" s="2"/>
      <c r="T103" s="2"/>
    </row>
    <row r="104" spans="1:20" ht="15">
      <c r="A104" s="2" t="s">
        <v>131</v>
      </c>
      <c r="B104" s="2">
        <v>2017</v>
      </c>
      <c r="C104" s="6">
        <v>4004.7488560176635</v>
      </c>
      <c r="D104" s="7">
        <v>1.3608893398485132E-2</v>
      </c>
      <c r="E104" s="10">
        <v>13.35</v>
      </c>
      <c r="F104" s="11">
        <v>30267399.666999999</v>
      </c>
      <c r="G104" s="11">
        <v>13256243.881999999</v>
      </c>
      <c r="H104" s="2">
        <f t="shared" si="3"/>
        <v>17011155.785</v>
      </c>
      <c r="I104" s="15">
        <v>6</v>
      </c>
      <c r="J104" s="15">
        <v>47</v>
      </c>
      <c r="K104" s="2">
        <f t="shared" si="4"/>
        <v>0.1276595744680851</v>
      </c>
      <c r="L104" s="10">
        <v>15.374311322350099</v>
      </c>
      <c r="M104" s="14">
        <v>2.7472300000000001</v>
      </c>
      <c r="N104" s="2"/>
      <c r="O104" s="2">
        <v>1</v>
      </c>
      <c r="P104" s="2">
        <v>0</v>
      </c>
      <c r="Q104" s="2">
        <f t="shared" si="5"/>
        <v>0</v>
      </c>
      <c r="R104" s="2"/>
      <c r="S104" s="2"/>
      <c r="T104" s="2"/>
    </row>
    <row r="105" spans="1:20" ht="15">
      <c r="A105" s="2" t="s">
        <v>131</v>
      </c>
      <c r="B105" s="2">
        <v>2018</v>
      </c>
      <c r="C105" s="6">
        <v>4121.1633038163918</v>
      </c>
      <c r="D105" s="7">
        <v>1.3716823699359651E-2</v>
      </c>
      <c r="E105" s="10">
        <v>13.56</v>
      </c>
      <c r="F105" s="11">
        <v>31060193.844999999</v>
      </c>
      <c r="G105" s="11">
        <v>16644043.723999999</v>
      </c>
      <c r="H105" s="2">
        <f t="shared" si="3"/>
        <v>14416150.120999999</v>
      </c>
      <c r="I105" s="15">
        <v>33</v>
      </c>
      <c r="J105" s="15">
        <v>82</v>
      </c>
      <c r="K105" s="2">
        <f t="shared" si="4"/>
        <v>0.40243902439024393</v>
      </c>
      <c r="L105" s="10">
        <v>14.790108018369599</v>
      </c>
      <c r="M105" s="14">
        <v>2.7760099999999999</v>
      </c>
      <c r="N105" s="2"/>
      <c r="O105" s="2">
        <v>1</v>
      </c>
      <c r="P105" s="2">
        <v>0</v>
      </c>
      <c r="Q105" s="2">
        <f t="shared" si="5"/>
        <v>0</v>
      </c>
      <c r="R105" s="2"/>
      <c r="S105" s="2"/>
      <c r="T105" s="2"/>
    </row>
    <row r="106" spans="1:20" ht="15">
      <c r="A106" s="2" t="s">
        <v>131</v>
      </c>
      <c r="B106" s="2">
        <v>2019</v>
      </c>
      <c r="C106" s="6">
        <v>4164.0264508130549</v>
      </c>
      <c r="D106" s="7">
        <v>1.3613228351738654E-2</v>
      </c>
      <c r="E106" s="10">
        <v>21.14</v>
      </c>
      <c r="F106" s="11">
        <v>43984135.068000004</v>
      </c>
      <c r="G106" s="11">
        <v>13455686.097999999</v>
      </c>
      <c r="H106" s="2">
        <f t="shared" si="3"/>
        <v>30528448.970000006</v>
      </c>
      <c r="I106" s="15">
        <v>36</v>
      </c>
      <c r="J106" s="15">
        <v>86</v>
      </c>
      <c r="K106" s="2">
        <f t="shared" si="4"/>
        <v>0.41860465116279072</v>
      </c>
      <c r="L106" s="10">
        <v>14.7120972002113</v>
      </c>
      <c r="M106" s="14">
        <v>2.81534</v>
      </c>
      <c r="N106" s="2"/>
      <c r="O106" s="2">
        <v>1</v>
      </c>
      <c r="P106" s="2">
        <v>0</v>
      </c>
      <c r="Q106" s="2">
        <f t="shared" si="5"/>
        <v>0</v>
      </c>
      <c r="R106" s="2"/>
      <c r="S106" s="2"/>
      <c r="T106" s="2"/>
    </row>
    <row r="107" spans="1:20" ht="15">
      <c r="A107" s="2" t="s">
        <v>131</v>
      </c>
      <c r="B107" s="2">
        <v>2020</v>
      </c>
      <c r="C107" s="6">
        <v>4339.9327129640287</v>
      </c>
      <c r="D107" s="7">
        <v>1.4357811554780931E-2</v>
      </c>
      <c r="E107" s="10">
        <v>21.63</v>
      </c>
      <c r="F107" s="11">
        <v>36971337.987000003</v>
      </c>
      <c r="G107" s="11">
        <v>22777085.543000001</v>
      </c>
      <c r="H107" s="2">
        <f t="shared" si="3"/>
        <v>14194252.444000002</v>
      </c>
      <c r="I107" s="15">
        <v>76</v>
      </c>
      <c r="J107" s="15">
        <v>96</v>
      </c>
      <c r="K107" s="2">
        <f t="shared" si="4"/>
        <v>0.79166666666666663</v>
      </c>
      <c r="L107" s="10">
        <v>14.5232182818852</v>
      </c>
      <c r="M107" s="14">
        <v>2.9327800000000002</v>
      </c>
      <c r="N107" s="2"/>
      <c r="O107" s="2">
        <v>1</v>
      </c>
      <c r="P107" s="2">
        <v>0</v>
      </c>
      <c r="Q107" s="2">
        <f t="shared" si="5"/>
        <v>0</v>
      </c>
      <c r="R107" s="2"/>
      <c r="S107" s="2"/>
      <c r="T107" s="2"/>
    </row>
    <row r="108" spans="1:20" ht="15">
      <c r="A108" s="2" t="s">
        <v>131</v>
      </c>
      <c r="B108" s="2">
        <v>2021</v>
      </c>
      <c r="C108" s="6">
        <v>4054.0428002055137</v>
      </c>
      <c r="D108" s="7">
        <v>1.3024392596999565E-2</v>
      </c>
      <c r="E108" s="10">
        <v>19.88</v>
      </c>
      <c r="F108" s="11">
        <v>55360427.523000002</v>
      </c>
      <c r="G108" s="11">
        <v>16271487.130000001</v>
      </c>
      <c r="H108" s="2">
        <f t="shared" si="3"/>
        <v>39088940.392999999</v>
      </c>
      <c r="I108" s="15">
        <v>0</v>
      </c>
      <c r="J108" s="15">
        <v>20</v>
      </c>
      <c r="K108" s="2">
        <f t="shared" si="4"/>
        <v>0</v>
      </c>
      <c r="L108" s="10">
        <v>14.9402646685212</v>
      </c>
      <c r="M108" s="14">
        <v>3.0113300000000001</v>
      </c>
      <c r="N108" s="2"/>
      <c r="O108" s="2">
        <v>1</v>
      </c>
      <c r="P108" s="2">
        <v>0</v>
      </c>
      <c r="Q108" s="2">
        <f t="shared" si="5"/>
        <v>0</v>
      </c>
      <c r="R108" s="2"/>
      <c r="S108" s="2"/>
      <c r="T108" s="2"/>
    </row>
    <row r="109" spans="1:20" ht="15">
      <c r="A109" s="2" t="s">
        <v>131</v>
      </c>
      <c r="B109" s="2">
        <v>2022</v>
      </c>
      <c r="C109" s="6">
        <v>4941.4025326262818</v>
      </c>
      <c r="D109" s="7">
        <v>1.5896067785146635E-2</v>
      </c>
      <c r="E109" s="10">
        <v>33.54</v>
      </c>
      <c r="F109" s="11">
        <v>58068371.174000002</v>
      </c>
      <c r="G109" s="11">
        <v>27267657.021000002</v>
      </c>
      <c r="H109" s="2">
        <f t="shared" si="3"/>
        <v>30800714.153000001</v>
      </c>
      <c r="I109" s="15">
        <v>0</v>
      </c>
      <c r="J109" s="15">
        <v>12</v>
      </c>
      <c r="K109" s="2">
        <f t="shared" si="4"/>
        <v>0</v>
      </c>
      <c r="L109" s="10">
        <v>15.7551618539463</v>
      </c>
      <c r="M109" s="14">
        <v>2.9820000000000002</v>
      </c>
      <c r="N109" s="2"/>
      <c r="O109" s="2">
        <v>1</v>
      </c>
      <c r="P109" s="2">
        <v>1</v>
      </c>
      <c r="Q109" s="2">
        <f t="shared" si="5"/>
        <v>1</v>
      </c>
      <c r="R109" s="2"/>
      <c r="S109" s="2"/>
      <c r="T109" s="2"/>
    </row>
    <row r="110" spans="1:20" ht="15">
      <c r="A110" s="2" t="s">
        <v>131</v>
      </c>
      <c r="B110" s="2">
        <v>2023</v>
      </c>
      <c r="C110" s="6">
        <v>6025.8168334471211</v>
      </c>
      <c r="D110" s="7">
        <v>2.008945640063332E-2</v>
      </c>
      <c r="E110" s="10">
        <v>42.54</v>
      </c>
      <c r="F110" s="11">
        <v>78228031.921000004</v>
      </c>
      <c r="G110" s="11">
        <v>34608686.972999997</v>
      </c>
      <c r="H110" s="2">
        <f t="shared" si="3"/>
        <v>43619344.948000006</v>
      </c>
      <c r="I110" s="15">
        <v>0</v>
      </c>
      <c r="J110" s="15">
        <v>37</v>
      </c>
      <c r="K110" s="2">
        <f t="shared" si="4"/>
        <v>0</v>
      </c>
      <c r="L110" s="10">
        <v>14.460798686448101</v>
      </c>
      <c r="M110" s="14">
        <v>3.0937999999999999</v>
      </c>
      <c r="N110" s="2"/>
      <c r="O110" s="2">
        <v>1</v>
      </c>
      <c r="P110" s="2">
        <v>1</v>
      </c>
      <c r="Q110" s="2">
        <f t="shared" si="5"/>
        <v>1</v>
      </c>
      <c r="R110" s="2"/>
      <c r="S110" s="2"/>
      <c r="T110" s="2"/>
    </row>
    <row r="111" spans="1:20" ht="15">
      <c r="A111" s="2" t="s">
        <v>131</v>
      </c>
      <c r="B111" s="2">
        <v>2024</v>
      </c>
      <c r="C111" s="6">
        <v>6502.9505152937563</v>
      </c>
      <c r="D111" s="7">
        <v>2.1771063512137496E-2</v>
      </c>
      <c r="E111" s="10">
        <v>40.909999999999997</v>
      </c>
      <c r="F111" s="11">
        <v>47370500.266999997</v>
      </c>
      <c r="G111" s="11">
        <v>23361716.107000001</v>
      </c>
      <c r="H111" s="2">
        <f t="shared" si="3"/>
        <v>24008784.159999996</v>
      </c>
      <c r="I111" s="15">
        <v>0</v>
      </c>
      <c r="J111" s="15">
        <v>105</v>
      </c>
      <c r="K111" s="2">
        <f t="shared" si="4"/>
        <v>0</v>
      </c>
      <c r="L111" s="10">
        <v>14.2327051090182</v>
      </c>
      <c r="M111" s="14"/>
      <c r="N111" s="2"/>
      <c r="O111" s="2">
        <v>1</v>
      </c>
      <c r="P111" s="2">
        <v>1</v>
      </c>
      <c r="Q111" s="2">
        <f t="shared" si="5"/>
        <v>1</v>
      </c>
      <c r="R111" s="2"/>
      <c r="S111" s="2"/>
      <c r="T111" s="2"/>
    </row>
    <row r="112" spans="1:20" ht="15">
      <c r="A112" s="2" t="s">
        <v>132</v>
      </c>
      <c r="B112" s="2">
        <v>2014</v>
      </c>
      <c r="C112" s="6">
        <v>5636.1733071318722</v>
      </c>
      <c r="D112" s="7">
        <v>1.1347071120523274E-2</v>
      </c>
      <c r="E112" s="10">
        <v>40.47</v>
      </c>
      <c r="F112" s="11">
        <v>42270084.880000003</v>
      </c>
      <c r="G112" s="11">
        <v>20881619.414999999</v>
      </c>
      <c r="H112" s="2">
        <f t="shared" si="3"/>
        <v>21388465.465000004</v>
      </c>
      <c r="I112" s="15">
        <v>0</v>
      </c>
      <c r="J112" s="15">
        <v>48</v>
      </c>
      <c r="K112" s="2">
        <f t="shared" si="4"/>
        <v>0</v>
      </c>
      <c r="L112" s="10">
        <v>13.0439345797552</v>
      </c>
      <c r="M112" s="14">
        <v>3.1245699999999998</v>
      </c>
      <c r="N112" s="2"/>
      <c r="O112" s="2">
        <v>0</v>
      </c>
      <c r="P112" s="2">
        <v>0</v>
      </c>
      <c r="Q112" s="2">
        <f t="shared" si="5"/>
        <v>0</v>
      </c>
      <c r="R112" s="2"/>
      <c r="S112" s="2"/>
      <c r="T112" s="2"/>
    </row>
    <row r="113" spans="1:20" ht="15">
      <c r="A113" s="2" t="s">
        <v>132</v>
      </c>
      <c r="B113" s="2">
        <v>2015</v>
      </c>
      <c r="C113" s="6">
        <v>5696.73409992092</v>
      </c>
      <c r="D113" s="7">
        <v>1.0739467578805258E-2</v>
      </c>
      <c r="E113" s="10">
        <v>38.08</v>
      </c>
      <c r="F113" s="11">
        <v>38683744.140000001</v>
      </c>
      <c r="G113" s="11">
        <v>18758542.458000001</v>
      </c>
      <c r="H113" s="2">
        <f t="shared" si="3"/>
        <v>19925201.682</v>
      </c>
      <c r="I113" s="15">
        <v>0</v>
      </c>
      <c r="J113" s="15">
        <v>24</v>
      </c>
      <c r="K113" s="2">
        <f t="shared" si="4"/>
        <v>0</v>
      </c>
      <c r="L113" s="10">
        <v>13.7574995225643</v>
      </c>
      <c r="M113" s="14">
        <v>3.2408800000000002</v>
      </c>
      <c r="N113" s="2"/>
      <c r="O113" s="2">
        <v>0</v>
      </c>
      <c r="P113" s="2">
        <v>0</v>
      </c>
      <c r="Q113" s="2">
        <f t="shared" si="5"/>
        <v>0</v>
      </c>
      <c r="R113" s="2"/>
      <c r="S113" s="2"/>
      <c r="T113" s="2"/>
    </row>
    <row r="114" spans="1:20" ht="15">
      <c r="A114" s="2" t="s">
        <v>132</v>
      </c>
      <c r="B114" s="2">
        <v>2016</v>
      </c>
      <c r="C114" s="6">
        <v>5771.941254268133</v>
      </c>
      <c r="D114" s="7">
        <v>1.058345233485423E-2</v>
      </c>
      <c r="E114" s="10">
        <v>34.619999999999997</v>
      </c>
      <c r="F114" s="11">
        <v>38562729.380000003</v>
      </c>
      <c r="G114" s="11">
        <v>22177534.508000001</v>
      </c>
      <c r="H114" s="2">
        <f t="shared" si="3"/>
        <v>16385194.872000001</v>
      </c>
      <c r="I114" s="15">
        <v>9</v>
      </c>
      <c r="J114" s="15">
        <v>70</v>
      </c>
      <c r="K114" s="2">
        <f t="shared" si="4"/>
        <v>0.12857142857142856</v>
      </c>
      <c r="L114" s="10">
        <v>13.5121304151952</v>
      </c>
      <c r="M114" s="14">
        <v>3.2564299999999999</v>
      </c>
      <c r="N114" s="2"/>
      <c r="O114" s="2">
        <v>0</v>
      </c>
      <c r="P114" s="2">
        <v>0</v>
      </c>
      <c r="Q114" s="2">
        <f t="shared" si="5"/>
        <v>0</v>
      </c>
      <c r="R114" s="2"/>
      <c r="S114" s="2"/>
      <c r="T114" s="2"/>
    </row>
    <row r="115" spans="1:20" ht="15">
      <c r="A115" s="2" t="s">
        <v>132</v>
      </c>
      <c r="B115" s="2">
        <v>2017</v>
      </c>
      <c r="C115" s="6">
        <v>5771.6631109427726</v>
      </c>
      <c r="D115" s="7">
        <v>1.0343567395260534E-2</v>
      </c>
      <c r="E115" s="10">
        <v>21.65</v>
      </c>
      <c r="F115" s="11">
        <v>106402734.323</v>
      </c>
      <c r="G115" s="11">
        <v>23092676.013</v>
      </c>
      <c r="H115" s="2">
        <f t="shared" si="3"/>
        <v>83310058.310000002</v>
      </c>
      <c r="I115" s="15">
        <v>5</v>
      </c>
      <c r="J115" s="15">
        <v>32</v>
      </c>
      <c r="K115" s="2">
        <f t="shared" si="4"/>
        <v>0.15625</v>
      </c>
      <c r="L115" s="10">
        <v>13.3499842845446</v>
      </c>
      <c r="M115" s="14">
        <v>3.3937400000000002</v>
      </c>
      <c r="N115" s="2"/>
      <c r="O115" s="2">
        <v>0</v>
      </c>
      <c r="P115" s="2">
        <v>0</v>
      </c>
      <c r="Q115" s="2">
        <f t="shared" si="5"/>
        <v>0</v>
      </c>
      <c r="R115" s="2"/>
      <c r="S115" s="2"/>
      <c r="T115" s="2"/>
    </row>
    <row r="116" spans="1:20" ht="15">
      <c r="A116" s="2" t="s">
        <v>132</v>
      </c>
      <c r="B116" s="2">
        <v>2018</v>
      </c>
      <c r="C116" s="6">
        <v>5962.1712898688938</v>
      </c>
      <c r="D116" s="7">
        <v>1.0431498604912642E-2</v>
      </c>
      <c r="E116" s="10">
        <v>22.4</v>
      </c>
      <c r="F116" s="11">
        <v>33246433.199999999</v>
      </c>
      <c r="G116" s="11">
        <v>19732820.616</v>
      </c>
      <c r="H116" s="2">
        <f t="shared" si="3"/>
        <v>13513612.583999999</v>
      </c>
      <c r="I116" s="15">
        <v>0</v>
      </c>
      <c r="J116" s="15">
        <v>7</v>
      </c>
      <c r="K116" s="2">
        <f t="shared" si="4"/>
        <v>0</v>
      </c>
      <c r="L116" s="10">
        <v>13.427917277211399</v>
      </c>
      <c r="M116" s="14">
        <v>3.3460200000000002</v>
      </c>
      <c r="N116" s="2"/>
      <c r="O116" s="2">
        <v>0</v>
      </c>
      <c r="P116" s="2">
        <v>0</v>
      </c>
      <c r="Q116" s="2">
        <f t="shared" si="5"/>
        <v>0</v>
      </c>
      <c r="R116" s="2"/>
      <c r="S116" s="2"/>
      <c r="T116" s="2"/>
    </row>
    <row r="117" spans="1:20" ht="15">
      <c r="A117" s="2" t="s">
        <v>132</v>
      </c>
      <c r="B117" s="2">
        <v>2019</v>
      </c>
      <c r="C117" s="6">
        <v>6489.1468455697513</v>
      </c>
      <c r="D117" s="7">
        <v>1.0995578508068097E-2</v>
      </c>
      <c r="E117" s="10">
        <v>22.95</v>
      </c>
      <c r="F117" s="11">
        <v>34643573.516000003</v>
      </c>
      <c r="G117" s="11">
        <v>18607687.747000001</v>
      </c>
      <c r="H117" s="2">
        <f t="shared" si="3"/>
        <v>16035885.769000001</v>
      </c>
      <c r="I117" s="15">
        <v>0</v>
      </c>
      <c r="J117" s="15">
        <v>7</v>
      </c>
      <c r="K117" s="2">
        <f t="shared" si="4"/>
        <v>0</v>
      </c>
      <c r="L117" s="10">
        <v>13.1846571322397</v>
      </c>
      <c r="M117" s="14">
        <v>3.3984700000000001</v>
      </c>
      <c r="N117" s="2"/>
      <c r="O117" s="2">
        <v>0</v>
      </c>
      <c r="P117" s="2">
        <v>0</v>
      </c>
      <c r="Q117" s="2">
        <f t="shared" si="5"/>
        <v>0</v>
      </c>
      <c r="R117" s="2"/>
      <c r="S117" s="2"/>
      <c r="T117" s="2"/>
    </row>
    <row r="118" spans="1:20" ht="15">
      <c r="A118" s="2" t="s">
        <v>132</v>
      </c>
      <c r="B118" s="2">
        <v>2020</v>
      </c>
      <c r="C118" s="6">
        <v>6753.2601272567936</v>
      </c>
      <c r="D118" s="7">
        <v>1.1519583151716936E-2</v>
      </c>
      <c r="E118" s="10">
        <v>23.79</v>
      </c>
      <c r="F118" s="11">
        <v>35759824.066</v>
      </c>
      <c r="G118" s="11">
        <v>21016343.458000001</v>
      </c>
      <c r="H118" s="2">
        <f t="shared" si="3"/>
        <v>14743480.607999999</v>
      </c>
      <c r="I118" s="15">
        <v>0</v>
      </c>
      <c r="J118" s="15">
        <v>3</v>
      </c>
      <c r="K118" s="2">
        <f t="shared" si="4"/>
        <v>0</v>
      </c>
      <c r="L118" s="10">
        <v>12.6551436257382</v>
      </c>
      <c r="M118" s="14">
        <v>3.5018099999999999</v>
      </c>
      <c r="N118" s="2"/>
      <c r="O118" s="2">
        <v>0</v>
      </c>
      <c r="P118" s="2">
        <v>0</v>
      </c>
      <c r="Q118" s="2">
        <f t="shared" si="5"/>
        <v>0</v>
      </c>
      <c r="R118" s="2"/>
      <c r="S118" s="2"/>
      <c r="T118" s="2"/>
    </row>
    <row r="119" spans="1:20" ht="15">
      <c r="A119" s="2" t="s">
        <v>132</v>
      </c>
      <c r="B119" s="2">
        <v>2021</v>
      </c>
      <c r="C119" s="6">
        <v>7443.8479347593557</v>
      </c>
      <c r="D119" s="7">
        <v>1.2002746522548064E-2</v>
      </c>
      <c r="E119" s="10">
        <v>20.22</v>
      </c>
      <c r="F119" s="11">
        <v>51382797.377999999</v>
      </c>
      <c r="G119" s="11">
        <v>20674006.482000001</v>
      </c>
      <c r="H119" s="2">
        <f t="shared" si="3"/>
        <v>30708790.895999998</v>
      </c>
      <c r="I119" s="15">
        <v>110</v>
      </c>
      <c r="J119" s="15">
        <v>110</v>
      </c>
      <c r="K119" s="2">
        <f t="shared" si="4"/>
        <v>1</v>
      </c>
      <c r="L119" s="10">
        <v>12.899224033548901</v>
      </c>
      <c r="M119" s="14">
        <v>3.4156499999999999</v>
      </c>
      <c r="N119" s="2"/>
      <c r="O119" s="2">
        <v>0</v>
      </c>
      <c r="P119" s="2">
        <v>0</v>
      </c>
      <c r="Q119" s="2">
        <f t="shared" si="5"/>
        <v>0</v>
      </c>
      <c r="R119" s="2"/>
      <c r="S119" s="2"/>
      <c r="T119" s="2"/>
    </row>
    <row r="120" spans="1:20" ht="15">
      <c r="A120" s="2" t="s">
        <v>132</v>
      </c>
      <c r="B120" s="2">
        <v>2022</v>
      </c>
      <c r="C120" s="6">
        <v>8249.1281161080005</v>
      </c>
      <c r="D120" s="7">
        <v>1.3426468560738876E-2</v>
      </c>
      <c r="E120" s="10">
        <v>21.13</v>
      </c>
      <c r="F120" s="11">
        <v>70182750.859999999</v>
      </c>
      <c r="G120" s="11">
        <v>34379607.491999999</v>
      </c>
      <c r="H120" s="2">
        <f t="shared" si="3"/>
        <v>35803143.368000001</v>
      </c>
      <c r="I120" s="15">
        <v>318</v>
      </c>
      <c r="J120" s="15">
        <v>318</v>
      </c>
      <c r="K120" s="2">
        <f t="shared" si="4"/>
        <v>1</v>
      </c>
      <c r="L120" s="10">
        <v>13.686213930746</v>
      </c>
      <c r="M120" s="14">
        <v>3.4723899999999999</v>
      </c>
      <c r="N120" s="2"/>
      <c r="O120" s="2">
        <v>0</v>
      </c>
      <c r="P120" s="2">
        <v>1</v>
      </c>
      <c r="Q120" s="2">
        <f t="shared" si="5"/>
        <v>0</v>
      </c>
      <c r="R120" s="2"/>
      <c r="S120" s="2"/>
      <c r="T120" s="2"/>
    </row>
    <row r="121" spans="1:20" ht="15">
      <c r="A121" s="2" t="s">
        <v>132</v>
      </c>
      <c r="B121" s="2">
        <v>2023</v>
      </c>
      <c r="C121" s="6">
        <v>9070.9409830179138</v>
      </c>
      <c r="D121" s="7">
        <v>1.5173720090239805E-2</v>
      </c>
      <c r="E121" s="10">
        <v>30.24</v>
      </c>
      <c r="F121" s="11">
        <v>62258428.781999998</v>
      </c>
      <c r="G121" s="11">
        <v>32498373.537</v>
      </c>
      <c r="H121" s="2">
        <f t="shared" si="3"/>
        <v>29760055.244999997</v>
      </c>
      <c r="I121" s="15">
        <v>65</v>
      </c>
      <c r="J121" s="15">
        <v>98</v>
      </c>
      <c r="K121" s="2">
        <f t="shared" si="4"/>
        <v>0.66326530612244894</v>
      </c>
      <c r="L121" s="10">
        <v>13.3941389054248</v>
      </c>
      <c r="M121" s="14">
        <v>3.59978</v>
      </c>
      <c r="N121" s="2"/>
      <c r="O121" s="2">
        <v>0</v>
      </c>
      <c r="P121" s="2">
        <v>1</v>
      </c>
      <c r="Q121" s="2">
        <f t="shared" si="5"/>
        <v>0</v>
      </c>
      <c r="R121" s="2"/>
      <c r="S121" s="2"/>
      <c r="T121" s="2"/>
    </row>
    <row r="122" spans="1:20" ht="15">
      <c r="A122" s="2" t="s">
        <v>132</v>
      </c>
      <c r="B122" s="2">
        <v>2024</v>
      </c>
      <c r="C122" s="6">
        <v>12046.97008544414</v>
      </c>
      <c r="D122" s="7">
        <v>1.9932278351101382E-2</v>
      </c>
      <c r="E122" s="10">
        <v>35.369999999999997</v>
      </c>
      <c r="F122" s="11">
        <v>57152320.120999999</v>
      </c>
      <c r="G122" s="11">
        <v>30007653.147999998</v>
      </c>
      <c r="H122" s="2">
        <f t="shared" si="3"/>
        <v>27144666.973000001</v>
      </c>
      <c r="I122" s="15">
        <v>55</v>
      </c>
      <c r="J122" s="15">
        <v>56</v>
      </c>
      <c r="K122" s="2">
        <f t="shared" si="4"/>
        <v>0.9821428571428571</v>
      </c>
      <c r="L122" s="10">
        <v>13.004316877390201</v>
      </c>
      <c r="M122" s="14"/>
      <c r="N122" s="2"/>
      <c r="O122" s="2">
        <v>0</v>
      </c>
      <c r="P122" s="2">
        <v>1</v>
      </c>
      <c r="Q122" s="2">
        <f t="shared" si="5"/>
        <v>0</v>
      </c>
      <c r="R122" s="2"/>
      <c r="S122" s="2"/>
      <c r="T122" s="2"/>
    </row>
    <row r="123" spans="1:20" ht="15">
      <c r="A123" s="2" t="s">
        <v>133</v>
      </c>
      <c r="B123" s="2">
        <v>2014</v>
      </c>
      <c r="C123" s="6">
        <v>12336.045696801055</v>
      </c>
      <c r="D123" s="7">
        <v>1.9082273555200167E-2</v>
      </c>
      <c r="E123" s="10">
        <v>18.84</v>
      </c>
      <c r="F123" s="11">
        <v>30882268</v>
      </c>
      <c r="G123" s="11">
        <v>79428069</v>
      </c>
      <c r="H123" s="2">
        <f t="shared" si="3"/>
        <v>-48545801</v>
      </c>
      <c r="I123" s="15">
        <v>1</v>
      </c>
      <c r="J123" s="15">
        <v>275</v>
      </c>
      <c r="K123" s="2">
        <f t="shared" si="4"/>
        <v>3.6363636363636364E-3</v>
      </c>
      <c r="L123" s="10">
        <v>16.9081122802504</v>
      </c>
      <c r="M123" s="14">
        <v>0.94540000000000002</v>
      </c>
      <c r="N123" s="2"/>
      <c r="O123" s="2">
        <v>1</v>
      </c>
      <c r="P123" s="2">
        <v>0</v>
      </c>
      <c r="Q123" s="2">
        <f t="shared" si="5"/>
        <v>0</v>
      </c>
      <c r="R123" s="2"/>
      <c r="S123" s="2"/>
      <c r="T123" s="2"/>
    </row>
    <row r="124" spans="1:20" ht="15">
      <c r="A124" s="2" t="s">
        <v>133</v>
      </c>
      <c r="B124" s="2">
        <v>2015</v>
      </c>
      <c r="C124" s="6">
        <v>14680.596397481584</v>
      </c>
      <c r="D124" s="7">
        <v>2.1274238435335803E-2</v>
      </c>
      <c r="E124" s="10">
        <v>33.200000000000003</v>
      </c>
      <c r="F124" s="11">
        <v>79023134</v>
      </c>
      <c r="G124" s="11">
        <v>87525053</v>
      </c>
      <c r="H124" s="2">
        <f t="shared" si="3"/>
        <v>-8501919</v>
      </c>
      <c r="I124" s="15">
        <v>4</v>
      </c>
      <c r="J124" s="15">
        <v>127</v>
      </c>
      <c r="K124" s="2">
        <f t="shared" si="4"/>
        <v>3.1496062992125984E-2</v>
      </c>
      <c r="L124" s="10">
        <v>17.669339133625598</v>
      </c>
      <c r="M124" s="14">
        <v>0.99807000000000001</v>
      </c>
      <c r="N124" s="2"/>
      <c r="O124" s="2">
        <v>1</v>
      </c>
      <c r="P124" s="2">
        <v>0</v>
      </c>
      <c r="Q124" s="2">
        <f t="shared" si="5"/>
        <v>0</v>
      </c>
      <c r="R124" s="2"/>
      <c r="S124" s="2"/>
      <c r="T124" s="2"/>
    </row>
    <row r="125" spans="1:20" ht="15">
      <c r="A125" s="2" t="s">
        <v>133</v>
      </c>
      <c r="B125" s="2">
        <v>2016</v>
      </c>
      <c r="C125" s="6">
        <v>13867.437806554057</v>
      </c>
      <c r="D125" s="7">
        <v>1.9358935882869945E-2</v>
      </c>
      <c r="E125" s="10">
        <v>21.62</v>
      </c>
      <c r="F125" s="11">
        <v>118469065</v>
      </c>
      <c r="G125" s="11">
        <v>95266462</v>
      </c>
      <c r="H125" s="2">
        <f t="shared" si="3"/>
        <v>23202603</v>
      </c>
      <c r="I125" s="15">
        <v>0</v>
      </c>
      <c r="J125" s="15">
        <v>45</v>
      </c>
      <c r="K125" s="2">
        <f t="shared" si="4"/>
        <v>0</v>
      </c>
      <c r="L125" s="10">
        <v>18.2752041844413</v>
      </c>
      <c r="M125" s="14">
        <v>0.96160000000000001</v>
      </c>
      <c r="N125" s="2"/>
      <c r="O125" s="2">
        <v>1</v>
      </c>
      <c r="P125" s="2">
        <v>0</v>
      </c>
      <c r="Q125" s="2">
        <f t="shared" si="5"/>
        <v>0</v>
      </c>
      <c r="R125" s="2"/>
      <c r="S125" s="2"/>
      <c r="T125" s="2"/>
    </row>
    <row r="126" spans="1:20" ht="15">
      <c r="A126" s="2" t="s">
        <v>133</v>
      </c>
      <c r="B126" s="2">
        <v>2017</v>
      </c>
      <c r="C126" s="6">
        <v>14180.760097290049</v>
      </c>
      <c r="D126" s="7">
        <v>1.8882872704618706E-2</v>
      </c>
      <c r="E126" s="10">
        <v>22.04</v>
      </c>
      <c r="F126" s="11">
        <v>24817071</v>
      </c>
      <c r="G126" s="11">
        <v>104661110</v>
      </c>
      <c r="H126" s="2">
        <f t="shared" si="3"/>
        <v>-79844039</v>
      </c>
      <c r="I126" s="15">
        <v>17</v>
      </c>
      <c r="J126" s="15">
        <v>126</v>
      </c>
      <c r="K126" s="2">
        <f t="shared" si="4"/>
        <v>0.13492063492063491</v>
      </c>
      <c r="L126" s="10">
        <v>16.885863435955699</v>
      </c>
      <c r="M126" s="14">
        <v>1.0305500000000001</v>
      </c>
      <c r="N126" s="2"/>
      <c r="O126" s="2">
        <v>1</v>
      </c>
      <c r="P126" s="2">
        <v>0</v>
      </c>
      <c r="Q126" s="2">
        <f t="shared" si="5"/>
        <v>0</v>
      </c>
      <c r="R126" s="2"/>
      <c r="S126" s="2"/>
      <c r="T126" s="2"/>
    </row>
    <row r="127" spans="1:20" ht="15">
      <c r="A127" s="2" t="s">
        <v>133</v>
      </c>
      <c r="B127" s="2">
        <v>2018</v>
      </c>
      <c r="C127" s="6">
        <v>16062.144211178032</v>
      </c>
      <c r="D127" s="7">
        <v>2.0247282182281785E-2</v>
      </c>
      <c r="E127" s="10">
        <v>27.51</v>
      </c>
      <c r="F127" s="11">
        <v>49662752</v>
      </c>
      <c r="G127" s="11">
        <v>134645137</v>
      </c>
      <c r="H127" s="2">
        <f t="shared" si="3"/>
        <v>-84982385</v>
      </c>
      <c r="I127" s="15">
        <v>5</v>
      </c>
      <c r="J127" s="15">
        <v>50</v>
      </c>
      <c r="K127" s="2">
        <f t="shared" si="4"/>
        <v>0.1</v>
      </c>
      <c r="L127" s="10">
        <v>16.4851063076839</v>
      </c>
      <c r="M127" s="14">
        <v>1.1942600000000001</v>
      </c>
      <c r="N127" s="2"/>
      <c r="O127" s="2">
        <v>1</v>
      </c>
      <c r="P127" s="2">
        <v>0</v>
      </c>
      <c r="Q127" s="2">
        <f t="shared" si="5"/>
        <v>0</v>
      </c>
      <c r="R127" s="2"/>
      <c r="S127" s="2"/>
      <c r="T127" s="2"/>
    </row>
    <row r="128" spans="1:20" ht="15">
      <c r="A128" s="2" t="s">
        <v>133</v>
      </c>
      <c r="B128" s="2">
        <v>2019</v>
      </c>
      <c r="C128" s="6">
        <v>16332.619435293149</v>
      </c>
      <c r="D128" s="7">
        <v>1.9533831850501896E-2</v>
      </c>
      <c r="E128" s="10">
        <v>23.36</v>
      </c>
      <c r="F128" s="11">
        <v>73903168</v>
      </c>
      <c r="G128" s="11">
        <v>92789697</v>
      </c>
      <c r="H128" s="2">
        <f t="shared" si="3"/>
        <v>-18886529</v>
      </c>
      <c r="I128" s="15">
        <v>68</v>
      </c>
      <c r="J128" s="15">
        <v>213</v>
      </c>
      <c r="K128" s="2">
        <f t="shared" si="4"/>
        <v>0.31924882629107981</v>
      </c>
      <c r="L128" s="10">
        <v>16.661487884891901</v>
      </c>
      <c r="M128" s="14">
        <v>1.3088</v>
      </c>
      <c r="N128" s="2"/>
      <c r="O128" s="2">
        <v>1</v>
      </c>
      <c r="P128" s="2">
        <v>0</v>
      </c>
      <c r="Q128" s="2">
        <f t="shared" si="5"/>
        <v>0</v>
      </c>
      <c r="R128" s="2"/>
      <c r="S128" s="2"/>
      <c r="T128" s="2"/>
    </row>
    <row r="129" spans="1:20" ht="15">
      <c r="A129" s="2" t="s">
        <v>133</v>
      </c>
      <c r="B129" s="2">
        <v>2020</v>
      </c>
      <c r="C129" s="6">
        <v>18691.619581062259</v>
      </c>
      <c r="D129" s="7">
        <v>2.2630537189540518E-2</v>
      </c>
      <c r="E129" s="10">
        <v>29.31</v>
      </c>
      <c r="F129" s="11">
        <v>23437995</v>
      </c>
      <c r="G129" s="11">
        <v>119498719</v>
      </c>
      <c r="H129" s="2">
        <f t="shared" si="3"/>
        <v>-96060724</v>
      </c>
      <c r="I129" s="15">
        <v>70</v>
      </c>
      <c r="J129" s="15">
        <v>153</v>
      </c>
      <c r="K129" s="2">
        <f t="shared" si="4"/>
        <v>0.45751633986928103</v>
      </c>
      <c r="L129" s="10">
        <v>16.208368582962802</v>
      </c>
      <c r="M129" s="14">
        <v>1.3712800000000001</v>
      </c>
      <c r="N129" s="2"/>
      <c r="O129" s="2">
        <v>1</v>
      </c>
      <c r="P129" s="2">
        <v>0</v>
      </c>
      <c r="Q129" s="2">
        <f t="shared" si="5"/>
        <v>0</v>
      </c>
      <c r="R129" s="2"/>
      <c r="S129" s="2"/>
      <c r="T129" s="2"/>
    </row>
    <row r="130" spans="1:20" ht="15">
      <c r="A130" s="2" t="s">
        <v>133</v>
      </c>
      <c r="B130" s="2">
        <v>2021</v>
      </c>
      <c r="C130" s="6">
        <v>19634.295441057289</v>
      </c>
      <c r="D130" s="7">
        <v>2.2171632880183416E-2</v>
      </c>
      <c r="E130" s="10">
        <v>33.89</v>
      </c>
      <c r="F130" s="11">
        <v>48570469</v>
      </c>
      <c r="G130" s="11">
        <v>143986750</v>
      </c>
      <c r="H130" s="2">
        <f t="shared" ref="H130:H193" si="6">F130-G130</f>
        <v>-95416281</v>
      </c>
      <c r="I130" s="15">
        <v>31</v>
      </c>
      <c r="J130" s="15">
        <v>68</v>
      </c>
      <c r="K130" s="2">
        <f t="shared" ref="K130:K193" si="7">IFERROR(I130/J130,"")</f>
        <v>0.45588235294117646</v>
      </c>
      <c r="L130" s="10">
        <v>17.3006156636927</v>
      </c>
      <c r="M130" s="14">
        <v>1.4155800000000001</v>
      </c>
      <c r="N130" s="2"/>
      <c r="O130" s="2">
        <v>1</v>
      </c>
      <c r="P130" s="2">
        <v>0</v>
      </c>
      <c r="Q130" s="2">
        <f t="shared" ref="Q130:Q193" si="8">O130*P130</f>
        <v>0</v>
      </c>
      <c r="R130" s="2"/>
      <c r="S130" s="2"/>
      <c r="T130" s="2"/>
    </row>
    <row r="131" spans="1:20" ht="15">
      <c r="A131" s="2" t="s">
        <v>133</v>
      </c>
      <c r="B131" s="2">
        <v>2022</v>
      </c>
      <c r="C131" s="6">
        <v>19877.365738364806</v>
      </c>
      <c r="D131" s="7">
        <v>2.2045890642888241E-2</v>
      </c>
      <c r="E131" s="10">
        <v>32.42</v>
      </c>
      <c r="F131" s="11">
        <v>611943074</v>
      </c>
      <c r="G131" s="11">
        <v>787202133</v>
      </c>
      <c r="H131" s="2">
        <f t="shared" si="6"/>
        <v>-175259059</v>
      </c>
      <c r="I131" s="15">
        <v>171</v>
      </c>
      <c r="J131" s="15">
        <v>414</v>
      </c>
      <c r="K131" s="2">
        <f t="shared" si="7"/>
        <v>0.41304347826086957</v>
      </c>
      <c r="L131" s="10">
        <v>17.651321411870899</v>
      </c>
      <c r="M131" s="14">
        <v>1.4416199999999999</v>
      </c>
      <c r="N131" s="2"/>
      <c r="O131" s="2">
        <v>1</v>
      </c>
      <c r="P131" s="2">
        <v>1</v>
      </c>
      <c r="Q131" s="2">
        <f t="shared" si="8"/>
        <v>1</v>
      </c>
      <c r="R131" s="2"/>
      <c r="S131" s="2"/>
      <c r="T131" s="2"/>
    </row>
    <row r="132" spans="1:20" ht="15">
      <c r="A132" s="2" t="s">
        <v>133</v>
      </c>
      <c r="B132" s="2">
        <v>2023</v>
      </c>
      <c r="C132" s="6">
        <v>28998.081896233849</v>
      </c>
      <c r="D132" s="7">
        <v>3.2567225938533777E-2</v>
      </c>
      <c r="E132" s="10">
        <v>44.73</v>
      </c>
      <c r="F132" s="11">
        <v>1091825750</v>
      </c>
      <c r="G132" s="11">
        <v>1869469526</v>
      </c>
      <c r="H132" s="2">
        <f t="shared" si="6"/>
        <v>-777643776</v>
      </c>
      <c r="I132" s="15">
        <v>638</v>
      </c>
      <c r="J132" s="15">
        <v>1391</v>
      </c>
      <c r="K132" s="2">
        <f t="shared" si="7"/>
        <v>0.45866283249460821</v>
      </c>
      <c r="L132" s="10">
        <v>17.457867216510301</v>
      </c>
      <c r="M132" s="14">
        <v>1.55525</v>
      </c>
      <c r="N132" s="2"/>
      <c r="O132" s="2">
        <v>1</v>
      </c>
      <c r="P132" s="2">
        <v>1</v>
      </c>
      <c r="Q132" s="2">
        <f t="shared" si="8"/>
        <v>1</v>
      </c>
      <c r="R132" s="2"/>
      <c r="S132" s="2"/>
      <c r="T132" s="2"/>
    </row>
    <row r="133" spans="1:20" ht="15">
      <c r="A133" s="2" t="s">
        <v>133</v>
      </c>
      <c r="B133" s="2">
        <v>2024</v>
      </c>
      <c r="C133" s="6">
        <v>34459.549418665527</v>
      </c>
      <c r="D133" s="7">
        <v>3.7547161135064233E-2</v>
      </c>
      <c r="E133" s="10">
        <v>42.9</v>
      </c>
      <c r="F133" s="11">
        <v>1975440651</v>
      </c>
      <c r="G133" s="11">
        <v>2838941752</v>
      </c>
      <c r="H133" s="2">
        <f t="shared" si="6"/>
        <v>-863501101</v>
      </c>
      <c r="I133" s="15">
        <v>646</v>
      </c>
      <c r="J133" s="15">
        <v>1542</v>
      </c>
      <c r="K133" s="2">
        <f t="shared" si="7"/>
        <v>0.41893644617380027</v>
      </c>
      <c r="L133" s="10">
        <v>16.0769928111431</v>
      </c>
      <c r="M133" s="14"/>
      <c r="N133" s="2"/>
      <c r="O133" s="2">
        <v>1</v>
      </c>
      <c r="P133" s="2">
        <v>1</v>
      </c>
      <c r="Q133" s="2">
        <f t="shared" si="8"/>
        <v>1</v>
      </c>
      <c r="R133" s="2"/>
      <c r="S133" s="2"/>
      <c r="T133" s="2"/>
    </row>
    <row r="134" spans="1:20" ht="15">
      <c r="A134" s="2" t="s">
        <v>134</v>
      </c>
      <c r="B134" s="2">
        <v>2014</v>
      </c>
      <c r="C134" s="6">
        <v>3024.3513122556569</v>
      </c>
      <c r="D134" s="7">
        <v>1.3476637836228038E-2</v>
      </c>
      <c r="E134" s="10">
        <v>15.77</v>
      </c>
      <c r="F134" s="11"/>
      <c r="G134" s="11"/>
      <c r="H134" s="2">
        <f t="shared" si="6"/>
        <v>0</v>
      </c>
      <c r="I134" s="15">
        <v>0</v>
      </c>
      <c r="J134" s="15">
        <v>0</v>
      </c>
      <c r="K134" s="2" t="str">
        <f t="shared" si="7"/>
        <v/>
      </c>
      <c r="L134" s="10">
        <v>21.513264215396799</v>
      </c>
      <c r="M134" s="14">
        <v>0.38207000000000002</v>
      </c>
      <c r="N134" s="2"/>
      <c r="O134" s="2">
        <v>1</v>
      </c>
      <c r="P134" s="2">
        <v>0</v>
      </c>
      <c r="Q134" s="2">
        <f t="shared" si="8"/>
        <v>0</v>
      </c>
      <c r="R134" s="2"/>
      <c r="S134" s="2"/>
      <c r="T134" s="2"/>
    </row>
    <row r="135" spans="1:20" ht="15">
      <c r="A135" s="2" t="s">
        <v>134</v>
      </c>
      <c r="B135" s="2">
        <v>2015</v>
      </c>
      <c r="C135" s="6">
        <v>3488.8910574203042</v>
      </c>
      <c r="D135" s="7">
        <v>1.45071824376782E-2</v>
      </c>
      <c r="E135" s="10">
        <v>19.649999999999999</v>
      </c>
      <c r="F135" s="11"/>
      <c r="G135" s="11"/>
      <c r="H135" s="2">
        <f t="shared" si="6"/>
        <v>0</v>
      </c>
      <c r="I135" s="15">
        <v>3</v>
      </c>
      <c r="J135" s="15">
        <v>22</v>
      </c>
      <c r="K135" s="2">
        <f t="shared" si="7"/>
        <v>0.13636363636363635</v>
      </c>
      <c r="L135" s="10">
        <v>20.208025108743499</v>
      </c>
      <c r="M135" s="14">
        <v>0.48796</v>
      </c>
      <c r="N135" s="2"/>
      <c r="O135" s="2">
        <v>1</v>
      </c>
      <c r="P135" s="2">
        <v>0</v>
      </c>
      <c r="Q135" s="2">
        <f t="shared" si="8"/>
        <v>0</v>
      </c>
      <c r="R135" s="2"/>
      <c r="S135" s="2"/>
      <c r="T135" s="2"/>
    </row>
    <row r="136" spans="1:20" ht="15">
      <c r="A136" s="2" t="s">
        <v>134</v>
      </c>
      <c r="B136" s="2">
        <v>2016</v>
      </c>
      <c r="C136" s="6">
        <v>3681.1000248600863</v>
      </c>
      <c r="D136" s="7">
        <v>1.4277045414778883E-2</v>
      </c>
      <c r="E136" s="10">
        <v>20.43</v>
      </c>
      <c r="F136" s="11"/>
      <c r="G136" s="11"/>
      <c r="H136" s="2">
        <f t="shared" si="6"/>
        <v>0</v>
      </c>
      <c r="I136" s="15">
        <v>5</v>
      </c>
      <c r="J136" s="15">
        <v>177</v>
      </c>
      <c r="K136" s="2">
        <f t="shared" si="7"/>
        <v>2.8248587570621469E-2</v>
      </c>
      <c r="L136" s="10">
        <v>20.124284514453699</v>
      </c>
      <c r="M136" s="14">
        <v>0.48863000000000001</v>
      </c>
      <c r="N136" s="2"/>
      <c r="O136" s="2">
        <v>1</v>
      </c>
      <c r="P136" s="2">
        <v>0</v>
      </c>
      <c r="Q136" s="2">
        <f t="shared" si="8"/>
        <v>0</v>
      </c>
      <c r="R136" s="2"/>
      <c r="S136" s="2"/>
      <c r="T136" s="2"/>
    </row>
    <row r="137" spans="1:20" ht="15">
      <c r="A137" s="2" t="s">
        <v>134</v>
      </c>
      <c r="B137" s="2">
        <v>2017</v>
      </c>
      <c r="C137" s="6">
        <v>4994.7179046528991</v>
      </c>
      <c r="D137" s="7">
        <v>1.7337551021893927E-2</v>
      </c>
      <c r="E137" s="10">
        <v>33.340000000000003</v>
      </c>
      <c r="F137" s="11"/>
      <c r="G137" s="11"/>
      <c r="H137" s="2">
        <f t="shared" si="6"/>
        <v>0</v>
      </c>
      <c r="I137" s="15">
        <v>13</v>
      </c>
      <c r="J137" s="15">
        <v>88</v>
      </c>
      <c r="K137" s="2">
        <f t="shared" si="7"/>
        <v>0.14772727272727273</v>
      </c>
      <c r="L137" s="10">
        <v>19.8307791051555</v>
      </c>
      <c r="M137" s="14">
        <v>0.50692999999999999</v>
      </c>
      <c r="N137" s="2"/>
      <c r="O137" s="2">
        <v>1</v>
      </c>
      <c r="P137" s="2">
        <v>0</v>
      </c>
      <c r="Q137" s="2">
        <f t="shared" si="8"/>
        <v>0</v>
      </c>
      <c r="R137" s="2"/>
      <c r="S137" s="2"/>
      <c r="T137" s="2"/>
    </row>
    <row r="138" spans="1:20" ht="15">
      <c r="A138" s="2" t="s">
        <v>134</v>
      </c>
      <c r="B138" s="2">
        <v>2018</v>
      </c>
      <c r="C138" s="6">
        <v>5555.0563600592786</v>
      </c>
      <c r="D138" s="7">
        <v>1.8027400893888795E-2</v>
      </c>
      <c r="E138" s="10">
        <v>33.47</v>
      </c>
      <c r="F138" s="11"/>
      <c r="G138" s="11"/>
      <c r="H138" s="2">
        <f t="shared" si="6"/>
        <v>0</v>
      </c>
      <c r="I138" s="15">
        <v>20</v>
      </c>
      <c r="J138" s="15">
        <v>36</v>
      </c>
      <c r="K138" s="2">
        <f t="shared" si="7"/>
        <v>0.55555555555555558</v>
      </c>
      <c r="L138" s="10">
        <v>19.069928394043</v>
      </c>
      <c r="M138" s="14">
        <v>0.49697999999999998</v>
      </c>
      <c r="N138" s="2"/>
      <c r="O138" s="2">
        <v>1</v>
      </c>
      <c r="P138" s="2">
        <v>0</v>
      </c>
      <c r="Q138" s="2">
        <f t="shared" si="8"/>
        <v>0</v>
      </c>
      <c r="R138" s="2"/>
      <c r="S138" s="2"/>
      <c r="T138" s="2"/>
    </row>
    <row r="139" spans="1:20" ht="15">
      <c r="A139" s="2" t="s">
        <v>134</v>
      </c>
      <c r="B139" s="2">
        <v>2019</v>
      </c>
      <c r="C139" s="6">
        <v>6080.813432021926</v>
      </c>
      <c r="D139" s="7">
        <v>1.8424790349248234E-2</v>
      </c>
      <c r="E139" s="10">
        <v>25.59</v>
      </c>
      <c r="F139" s="11"/>
      <c r="G139" s="11"/>
      <c r="H139" s="2">
        <f t="shared" si="6"/>
        <v>0</v>
      </c>
      <c r="I139" s="15">
        <v>13</v>
      </c>
      <c r="J139" s="15">
        <v>13</v>
      </c>
      <c r="K139" s="2">
        <f t="shared" si="7"/>
        <v>1</v>
      </c>
      <c r="L139" s="10">
        <v>17.242591940666301</v>
      </c>
      <c r="M139" s="14">
        <v>0.47491</v>
      </c>
      <c r="N139" s="2"/>
      <c r="O139" s="2">
        <v>1</v>
      </c>
      <c r="P139" s="2">
        <v>0</v>
      </c>
      <c r="Q139" s="2">
        <f t="shared" si="8"/>
        <v>0</v>
      </c>
      <c r="R139" s="2"/>
      <c r="S139" s="2"/>
      <c r="T139" s="2"/>
    </row>
    <row r="140" spans="1:20" ht="15">
      <c r="A140" s="2" t="s">
        <v>134</v>
      </c>
      <c r="B140" s="2">
        <v>2020</v>
      </c>
      <c r="C140" s="6">
        <v>6504.4606490295891</v>
      </c>
      <c r="D140" s="7">
        <v>2.0154172793756447E-2</v>
      </c>
      <c r="E140" s="10">
        <v>23.12</v>
      </c>
      <c r="F140" s="11"/>
      <c r="G140" s="11"/>
      <c r="H140" s="2">
        <f t="shared" si="6"/>
        <v>0</v>
      </c>
      <c r="I140" s="15">
        <v>95</v>
      </c>
      <c r="J140" s="15">
        <v>168</v>
      </c>
      <c r="K140" s="2">
        <f t="shared" si="7"/>
        <v>0.56547619047619047</v>
      </c>
      <c r="L140" s="10">
        <v>15.916522219183401</v>
      </c>
      <c r="M140" s="14">
        <v>0.46414</v>
      </c>
      <c r="N140" s="2"/>
      <c r="O140" s="2">
        <v>1</v>
      </c>
      <c r="P140" s="2">
        <v>0</v>
      </c>
      <c r="Q140" s="2">
        <f t="shared" si="8"/>
        <v>0</v>
      </c>
      <c r="R140" s="2"/>
      <c r="S140" s="2"/>
      <c r="T140" s="2"/>
    </row>
    <row r="141" spans="1:20" ht="15">
      <c r="A141" s="2" t="s">
        <v>134</v>
      </c>
      <c r="B141" s="2">
        <v>2021</v>
      </c>
      <c r="C141" s="6">
        <v>6362.6257896446923</v>
      </c>
      <c r="D141" s="7">
        <v>1.8573957808642284E-2</v>
      </c>
      <c r="E141" s="10">
        <v>21.57</v>
      </c>
      <c r="F141" s="11"/>
      <c r="G141" s="11"/>
      <c r="H141" s="2">
        <f t="shared" si="6"/>
        <v>0</v>
      </c>
      <c r="I141" s="15">
        <v>59</v>
      </c>
      <c r="J141" s="15">
        <v>105</v>
      </c>
      <c r="K141" s="2">
        <f t="shared" si="7"/>
        <v>0.56190476190476191</v>
      </c>
      <c r="L141" s="10">
        <v>15.710445243797</v>
      </c>
      <c r="M141" s="14">
        <v>0.47108</v>
      </c>
      <c r="N141" s="2"/>
      <c r="O141" s="2">
        <v>1</v>
      </c>
      <c r="P141" s="2">
        <v>0</v>
      </c>
      <c r="Q141" s="2">
        <f t="shared" si="8"/>
        <v>0</v>
      </c>
      <c r="R141" s="2"/>
      <c r="S141" s="2"/>
      <c r="T141" s="2"/>
    </row>
    <row r="142" spans="1:20" ht="15">
      <c r="A142" s="2" t="s">
        <v>134</v>
      </c>
      <c r="B142" s="2">
        <v>2022</v>
      </c>
      <c r="C142" s="6">
        <v>6172.0089605148787</v>
      </c>
      <c r="D142" s="7">
        <v>1.7562500821538211E-2</v>
      </c>
      <c r="E142" s="10">
        <v>25.51</v>
      </c>
      <c r="F142" s="11"/>
      <c r="G142" s="11"/>
      <c r="H142" s="2">
        <f t="shared" si="6"/>
        <v>0</v>
      </c>
      <c r="I142" s="15">
        <v>168</v>
      </c>
      <c r="J142" s="15">
        <v>186</v>
      </c>
      <c r="K142" s="2">
        <f t="shared" si="7"/>
        <v>0.90322580645161288</v>
      </c>
      <c r="L142" s="10">
        <v>13.822743326617999</v>
      </c>
      <c r="M142" s="14">
        <v>0.46273999999999998</v>
      </c>
      <c r="N142" s="2"/>
      <c r="O142" s="2">
        <v>1</v>
      </c>
      <c r="P142" s="2">
        <v>1</v>
      </c>
      <c r="Q142" s="2">
        <f t="shared" si="8"/>
        <v>1</v>
      </c>
      <c r="R142" s="2"/>
      <c r="S142" s="2"/>
      <c r="T142" s="2"/>
    </row>
    <row r="143" spans="1:20" ht="15">
      <c r="A143" s="2" t="s">
        <v>134</v>
      </c>
      <c r="B143" s="2">
        <v>2023</v>
      </c>
      <c r="C143" s="6">
        <v>5915.662568196607</v>
      </c>
      <c r="D143" s="7">
        <v>1.6174955024342616E-2</v>
      </c>
      <c r="E143" s="10">
        <v>21.94</v>
      </c>
      <c r="F143" s="12" t="s">
        <v>229</v>
      </c>
      <c r="G143" s="13" t="s">
        <v>230</v>
      </c>
      <c r="H143" s="2" t="e">
        <f t="shared" si="6"/>
        <v>#VALUE!</v>
      </c>
      <c r="I143" s="15">
        <v>292</v>
      </c>
      <c r="J143" s="15">
        <v>364</v>
      </c>
      <c r="K143" s="2">
        <f t="shared" si="7"/>
        <v>0.80219780219780223</v>
      </c>
      <c r="L143" s="10">
        <v>13.875529357421099</v>
      </c>
      <c r="M143" s="14">
        <v>0.51656000000000002</v>
      </c>
      <c r="N143" s="2"/>
      <c r="O143" s="2">
        <v>1</v>
      </c>
      <c r="P143" s="2">
        <v>1</v>
      </c>
      <c r="Q143" s="2">
        <f t="shared" si="8"/>
        <v>1</v>
      </c>
      <c r="R143" s="2"/>
      <c r="S143" s="2"/>
      <c r="T143" s="2"/>
    </row>
    <row r="144" spans="1:20" ht="15">
      <c r="A144" s="2" t="s">
        <v>134</v>
      </c>
      <c r="B144" s="2">
        <v>2024</v>
      </c>
      <c r="C144" s="6">
        <v>8315.3722782504701</v>
      </c>
      <c r="D144" s="7">
        <v>2.1735767955505261E-2</v>
      </c>
      <c r="E144" s="10">
        <v>32.090000000000003</v>
      </c>
      <c r="F144" s="11">
        <v>823275845.71000004</v>
      </c>
      <c r="G144" s="11">
        <v>773913008.11000001</v>
      </c>
      <c r="H144" s="2">
        <f t="shared" si="6"/>
        <v>49362837.600000024</v>
      </c>
      <c r="I144" s="15">
        <v>113</v>
      </c>
      <c r="J144" s="15">
        <v>320</v>
      </c>
      <c r="K144" s="2">
        <f t="shared" si="7"/>
        <v>0.35312500000000002</v>
      </c>
      <c r="L144" s="10">
        <v>13.196134820061101</v>
      </c>
      <c r="M144" s="14"/>
      <c r="N144" s="2"/>
      <c r="O144" s="2">
        <v>1</v>
      </c>
      <c r="P144" s="2">
        <v>1</v>
      </c>
      <c r="Q144" s="2">
        <f t="shared" si="8"/>
        <v>1</v>
      </c>
      <c r="R144" s="2"/>
      <c r="S144" s="2"/>
      <c r="T144" s="2"/>
    </row>
    <row r="145" spans="1:20" ht="15">
      <c r="A145" s="2" t="s">
        <v>135</v>
      </c>
      <c r="B145" s="2">
        <v>2014</v>
      </c>
      <c r="C145" s="6">
        <v>2747.8342956431902</v>
      </c>
      <c r="D145" s="7">
        <v>9.5911572225708085E-3</v>
      </c>
      <c r="E145" s="10">
        <v>6.53</v>
      </c>
      <c r="F145" s="11">
        <v>52480231</v>
      </c>
      <c r="G145" s="11">
        <v>8300145</v>
      </c>
      <c r="H145" s="2">
        <f t="shared" si="6"/>
        <v>44180086</v>
      </c>
      <c r="I145" s="15">
        <v>0</v>
      </c>
      <c r="J145" s="15">
        <v>0</v>
      </c>
      <c r="K145" s="2" t="str">
        <f t="shared" si="7"/>
        <v/>
      </c>
      <c r="L145" s="10">
        <v>23.469166565212198</v>
      </c>
      <c r="M145" s="14">
        <v>1.9439200000000001</v>
      </c>
      <c r="N145" s="2"/>
      <c r="O145" s="2">
        <v>1</v>
      </c>
      <c r="P145" s="2">
        <v>0</v>
      </c>
      <c r="Q145" s="2">
        <f t="shared" si="8"/>
        <v>0</v>
      </c>
      <c r="R145" s="2"/>
      <c r="S145" s="2"/>
      <c r="T145" s="2"/>
    </row>
    <row r="146" spans="1:20" ht="15">
      <c r="A146" s="2" t="s">
        <v>135</v>
      </c>
      <c r="B146" s="2">
        <v>2015</v>
      </c>
      <c r="C146" s="6">
        <v>2856.3321080232458</v>
      </c>
      <c r="D146" s="7">
        <v>9.4120292453716437E-3</v>
      </c>
      <c r="E146" s="10">
        <v>11.75</v>
      </c>
      <c r="F146" s="11">
        <v>56338069</v>
      </c>
      <c r="G146" s="11">
        <v>9539258</v>
      </c>
      <c r="H146" s="2">
        <f t="shared" si="6"/>
        <v>46798811</v>
      </c>
      <c r="I146" s="15">
        <v>0</v>
      </c>
      <c r="J146" s="15">
        <v>0</v>
      </c>
      <c r="K146" s="2" t="str">
        <f t="shared" si="7"/>
        <v/>
      </c>
      <c r="L146" s="10">
        <v>23.733950612374102</v>
      </c>
      <c r="M146" s="14">
        <v>1.9059999999999999</v>
      </c>
      <c r="N146" s="2"/>
      <c r="O146" s="2">
        <v>1</v>
      </c>
      <c r="P146" s="2">
        <v>0</v>
      </c>
      <c r="Q146" s="2">
        <f t="shared" si="8"/>
        <v>0</v>
      </c>
      <c r="R146" s="2"/>
      <c r="S146" s="2"/>
      <c r="T146" s="2"/>
    </row>
    <row r="147" spans="1:20" ht="15">
      <c r="A147" s="2" t="s">
        <v>135</v>
      </c>
      <c r="B147" s="2">
        <v>2016</v>
      </c>
      <c r="C147" s="6">
        <v>3096.1235041862051</v>
      </c>
      <c r="D147" s="7">
        <v>9.8663440036506067E-3</v>
      </c>
      <c r="E147" s="10">
        <v>6.7</v>
      </c>
      <c r="F147" s="11">
        <v>51458387</v>
      </c>
      <c r="G147" s="11">
        <v>10112292</v>
      </c>
      <c r="H147" s="2">
        <f t="shared" si="6"/>
        <v>41346095</v>
      </c>
      <c r="I147" s="15">
        <v>0</v>
      </c>
      <c r="J147" s="15">
        <v>7</v>
      </c>
      <c r="K147" s="2">
        <f t="shared" si="7"/>
        <v>0</v>
      </c>
      <c r="L147" s="10">
        <v>23.761095842891699</v>
      </c>
      <c r="M147" s="14">
        <v>1.65411</v>
      </c>
      <c r="N147" s="2"/>
      <c r="O147" s="2">
        <v>1</v>
      </c>
      <c r="P147" s="2">
        <v>0</v>
      </c>
      <c r="Q147" s="2">
        <f t="shared" si="8"/>
        <v>0</v>
      </c>
      <c r="R147" s="2"/>
      <c r="S147" s="2"/>
      <c r="T147" s="2"/>
    </row>
    <row r="148" spans="1:20" ht="15">
      <c r="A148" s="2" t="s">
        <v>135</v>
      </c>
      <c r="B148" s="2">
        <v>2017</v>
      </c>
      <c r="C148" s="6">
        <v>3092.2188031019691</v>
      </c>
      <c r="D148" s="7">
        <v>9.4398441192552578E-3</v>
      </c>
      <c r="E148" s="10">
        <v>11.55</v>
      </c>
      <c r="F148" s="11">
        <v>54534558</v>
      </c>
      <c r="G148" s="11">
        <v>12720512</v>
      </c>
      <c r="H148" s="2">
        <f t="shared" si="6"/>
        <v>41814046</v>
      </c>
      <c r="I148" s="15">
        <v>0</v>
      </c>
      <c r="J148" s="15">
        <v>0</v>
      </c>
      <c r="K148" s="2" t="str">
        <f t="shared" si="7"/>
        <v/>
      </c>
      <c r="L148" s="10">
        <v>23.1824532218752</v>
      </c>
      <c r="M148" s="14">
        <v>1.7451300000000001</v>
      </c>
      <c r="N148" s="2"/>
      <c r="O148" s="2">
        <v>1</v>
      </c>
      <c r="P148" s="2">
        <v>0</v>
      </c>
      <c r="Q148" s="2">
        <f t="shared" si="8"/>
        <v>0</v>
      </c>
      <c r="R148" s="2"/>
      <c r="S148" s="2"/>
      <c r="T148" s="2"/>
    </row>
    <row r="149" spans="1:20" ht="15">
      <c r="A149" s="2" t="s">
        <v>135</v>
      </c>
      <c r="B149" s="2">
        <v>2018</v>
      </c>
      <c r="C149" s="6">
        <v>3702.442604732621</v>
      </c>
      <c r="D149" s="7">
        <v>1.0920649924677301E-2</v>
      </c>
      <c r="E149" s="10">
        <v>11.16</v>
      </c>
      <c r="F149" s="11">
        <v>52482004</v>
      </c>
      <c r="G149" s="11">
        <v>13413444</v>
      </c>
      <c r="H149" s="2">
        <f t="shared" si="6"/>
        <v>39068560</v>
      </c>
      <c r="I149" s="15">
        <v>3</v>
      </c>
      <c r="J149" s="15">
        <v>7</v>
      </c>
      <c r="K149" s="2">
        <f t="shared" si="7"/>
        <v>0.42857142857142855</v>
      </c>
      <c r="L149" s="10">
        <v>22.306037887253499</v>
      </c>
      <c r="M149" s="14">
        <v>1.87652</v>
      </c>
      <c r="N149" s="2"/>
      <c r="O149" s="2">
        <v>1</v>
      </c>
      <c r="P149" s="2">
        <v>0</v>
      </c>
      <c r="Q149" s="2">
        <f t="shared" si="8"/>
        <v>0</v>
      </c>
      <c r="R149" s="2"/>
      <c r="S149" s="2"/>
      <c r="T149" s="2"/>
    </row>
    <row r="150" spans="1:20" ht="15">
      <c r="A150" s="2" t="s">
        <v>135</v>
      </c>
      <c r="B150" s="2">
        <v>2019</v>
      </c>
      <c r="C150" s="6">
        <v>4112.9487767344071</v>
      </c>
      <c r="D150" s="7">
        <v>1.1601718428445259E-2</v>
      </c>
      <c r="E150" s="10">
        <v>16.440000000000001</v>
      </c>
      <c r="F150" s="11">
        <v>56003650</v>
      </c>
      <c r="G150" s="11">
        <v>11253457</v>
      </c>
      <c r="H150" s="2">
        <f t="shared" si="6"/>
        <v>44750193</v>
      </c>
      <c r="I150" s="15">
        <v>0</v>
      </c>
      <c r="J150" s="15">
        <v>1</v>
      </c>
      <c r="K150" s="2">
        <f t="shared" si="7"/>
        <v>0</v>
      </c>
      <c r="L150" s="10">
        <v>22.126676616511599</v>
      </c>
      <c r="M150" s="14">
        <v>1.89547</v>
      </c>
      <c r="N150" s="2"/>
      <c r="O150" s="2">
        <v>1</v>
      </c>
      <c r="P150" s="2">
        <v>0</v>
      </c>
      <c r="Q150" s="2">
        <f t="shared" si="8"/>
        <v>0</v>
      </c>
      <c r="R150" s="2"/>
      <c r="S150" s="2"/>
      <c r="T150" s="2"/>
    </row>
    <row r="151" spans="1:20" ht="15">
      <c r="A151" s="2" t="s">
        <v>135</v>
      </c>
      <c r="B151" s="2">
        <v>2020</v>
      </c>
      <c r="C151" s="6">
        <v>4336.4606067866362</v>
      </c>
      <c r="D151" s="7">
        <v>1.2749990649103224E-2</v>
      </c>
      <c r="E151" s="10">
        <v>17.309999999999999</v>
      </c>
      <c r="F151" s="11">
        <v>54510629</v>
      </c>
      <c r="G151" s="11">
        <v>9707696</v>
      </c>
      <c r="H151" s="2">
        <f t="shared" si="6"/>
        <v>44802933</v>
      </c>
      <c r="I151" s="15">
        <v>1</v>
      </c>
      <c r="J151" s="15">
        <v>8</v>
      </c>
      <c r="K151" s="2">
        <f t="shared" si="7"/>
        <v>0.125</v>
      </c>
      <c r="L151" s="10">
        <v>20.796823371682901</v>
      </c>
      <c r="M151" s="14">
        <v>1.94537</v>
      </c>
      <c r="N151" s="2"/>
      <c r="O151" s="2">
        <v>1</v>
      </c>
      <c r="P151" s="2">
        <v>0</v>
      </c>
      <c r="Q151" s="2">
        <f t="shared" si="8"/>
        <v>0</v>
      </c>
      <c r="R151" s="2"/>
      <c r="S151" s="2"/>
      <c r="T151" s="2"/>
    </row>
    <row r="152" spans="1:20" ht="15">
      <c r="A152" s="2" t="s">
        <v>135</v>
      </c>
      <c r="B152" s="2">
        <v>2021</v>
      </c>
      <c r="C152" s="6">
        <v>4773.6544333308548</v>
      </c>
      <c r="D152" s="7">
        <v>1.3466597862472465E-2</v>
      </c>
      <c r="E152" s="10">
        <v>20.47</v>
      </c>
      <c r="F152" s="11">
        <v>80618917</v>
      </c>
      <c r="G152" s="11">
        <v>28689254</v>
      </c>
      <c r="H152" s="2">
        <f t="shared" si="6"/>
        <v>51929663</v>
      </c>
      <c r="I152" s="15">
        <v>0</v>
      </c>
      <c r="J152" s="15">
        <v>32</v>
      </c>
      <c r="K152" s="2">
        <f t="shared" si="7"/>
        <v>0</v>
      </c>
      <c r="L152" s="10">
        <v>19.640981617072999</v>
      </c>
      <c r="M152" s="14">
        <v>1.93302</v>
      </c>
      <c r="N152" s="2"/>
      <c r="O152" s="2">
        <v>1</v>
      </c>
      <c r="P152" s="2">
        <v>0</v>
      </c>
      <c r="Q152" s="2">
        <f t="shared" si="8"/>
        <v>0</v>
      </c>
      <c r="R152" s="2"/>
      <c r="S152" s="2"/>
      <c r="T152" s="2"/>
    </row>
    <row r="153" spans="1:20" ht="15">
      <c r="A153" s="2" t="s">
        <v>135</v>
      </c>
      <c r="B153" s="2">
        <v>2022</v>
      </c>
      <c r="C153" s="6">
        <v>4433.6524931719223</v>
      </c>
      <c r="D153" s="7">
        <v>1.2880659393532251E-2</v>
      </c>
      <c r="E153" s="10">
        <v>24.66</v>
      </c>
      <c r="F153" s="11">
        <v>84848740</v>
      </c>
      <c r="G153" s="11">
        <v>20802576</v>
      </c>
      <c r="H153" s="2">
        <f t="shared" si="6"/>
        <v>64046164</v>
      </c>
      <c r="I153" s="15">
        <v>0</v>
      </c>
      <c r="J153" s="15">
        <v>69</v>
      </c>
      <c r="K153" s="2">
        <f t="shared" si="7"/>
        <v>0</v>
      </c>
      <c r="L153" s="10">
        <v>19.395061357142399</v>
      </c>
      <c r="M153" s="14">
        <v>1.89089</v>
      </c>
      <c r="N153" s="2"/>
      <c r="O153" s="2">
        <v>1</v>
      </c>
      <c r="P153" s="2">
        <v>1</v>
      </c>
      <c r="Q153" s="2">
        <f t="shared" si="8"/>
        <v>1</v>
      </c>
      <c r="R153" s="2"/>
      <c r="S153" s="2"/>
      <c r="T153" s="2"/>
    </row>
    <row r="154" spans="1:20" ht="15">
      <c r="A154" s="2" t="s">
        <v>135</v>
      </c>
      <c r="B154" s="2">
        <v>2023</v>
      </c>
      <c r="C154" s="6">
        <v>4442.8221676531939</v>
      </c>
      <c r="D154" s="7">
        <v>1.3146284003652906E-2</v>
      </c>
      <c r="E154" s="10">
        <v>23.04</v>
      </c>
      <c r="F154" s="11">
        <v>100584573</v>
      </c>
      <c r="G154" s="11">
        <v>33124753</v>
      </c>
      <c r="H154" s="2">
        <f t="shared" si="6"/>
        <v>67459820</v>
      </c>
      <c r="I154" s="15">
        <v>74</v>
      </c>
      <c r="J154" s="15">
        <v>148</v>
      </c>
      <c r="K154" s="2">
        <f t="shared" si="7"/>
        <v>0.5</v>
      </c>
      <c r="L154" s="10">
        <v>20.433061280175199</v>
      </c>
      <c r="M154" s="14">
        <v>1.83369</v>
      </c>
      <c r="N154" s="2"/>
      <c r="O154" s="2">
        <v>1</v>
      </c>
      <c r="P154" s="2">
        <v>1</v>
      </c>
      <c r="Q154" s="2">
        <f t="shared" si="8"/>
        <v>1</v>
      </c>
      <c r="R154" s="2"/>
      <c r="S154" s="2"/>
      <c r="T154" s="2"/>
    </row>
    <row r="155" spans="1:20" ht="15">
      <c r="A155" s="2" t="s">
        <v>135</v>
      </c>
      <c r="B155" s="2">
        <v>2024</v>
      </c>
      <c r="C155" s="6">
        <v>6511.6976906124228</v>
      </c>
      <c r="D155" s="7">
        <v>1.8763857460166473E-2</v>
      </c>
      <c r="E155" s="10">
        <v>38.119999999999997</v>
      </c>
      <c r="F155" s="11">
        <v>87147509</v>
      </c>
      <c r="G155" s="11">
        <v>60224060</v>
      </c>
      <c r="H155" s="2">
        <f t="shared" si="6"/>
        <v>26923449</v>
      </c>
      <c r="I155" s="15">
        <v>44</v>
      </c>
      <c r="J155" s="15">
        <v>58</v>
      </c>
      <c r="K155" s="2">
        <f t="shared" si="7"/>
        <v>0.75862068965517238</v>
      </c>
      <c r="L155" s="10">
        <v>19.8858959477882</v>
      </c>
      <c r="M155" s="14"/>
      <c r="N155" s="2"/>
      <c r="O155" s="2">
        <v>1</v>
      </c>
      <c r="P155" s="2">
        <v>1</v>
      </c>
      <c r="Q155" s="2">
        <f t="shared" si="8"/>
        <v>1</v>
      </c>
      <c r="R155" s="2"/>
      <c r="S155" s="2"/>
      <c r="T155" s="2"/>
    </row>
    <row r="156" spans="1:20" ht="15">
      <c r="A156" s="2" t="s">
        <v>136</v>
      </c>
      <c r="B156" s="2">
        <v>2014</v>
      </c>
      <c r="C156" s="6">
        <v>1159.0147860827249</v>
      </c>
      <c r="D156" s="7">
        <v>9.8220664739695641E-3</v>
      </c>
      <c r="E156" s="10">
        <v>11.12</v>
      </c>
      <c r="F156" s="11">
        <v>30991012.27</v>
      </c>
      <c r="G156" s="11">
        <v>20524706.754999999</v>
      </c>
      <c r="H156" s="2">
        <f t="shared" si="6"/>
        <v>10466305.515000001</v>
      </c>
      <c r="I156" s="15">
        <v>0</v>
      </c>
      <c r="J156" s="15">
        <v>0</v>
      </c>
      <c r="K156" s="2" t="str">
        <f t="shared" si="7"/>
        <v/>
      </c>
      <c r="L156" s="10">
        <v>18.534175436213399</v>
      </c>
      <c r="M156" s="14">
        <v>0.87461999999999995</v>
      </c>
      <c r="N156" s="2"/>
      <c r="O156" s="2">
        <v>1</v>
      </c>
      <c r="P156" s="2">
        <v>0</v>
      </c>
      <c r="Q156" s="2">
        <f t="shared" si="8"/>
        <v>0</v>
      </c>
      <c r="R156" s="2"/>
      <c r="S156" s="2"/>
      <c r="T156" s="2"/>
    </row>
    <row r="157" spans="1:20" ht="15">
      <c r="A157" s="2" t="s">
        <v>136</v>
      </c>
      <c r="B157" s="2">
        <v>2015</v>
      </c>
      <c r="C157" s="6">
        <v>1374.6356732839297</v>
      </c>
      <c r="D157" s="7">
        <v>1.1060473330778932E-2</v>
      </c>
      <c r="E157" s="10">
        <v>18.28</v>
      </c>
      <c r="F157" s="11">
        <v>21599874.818999998</v>
      </c>
      <c r="G157" s="11">
        <v>29417355.851</v>
      </c>
      <c r="H157" s="2">
        <f t="shared" si="6"/>
        <v>-7817481.0320000015</v>
      </c>
      <c r="I157" s="15">
        <v>0</v>
      </c>
      <c r="J157" s="15">
        <v>0</v>
      </c>
      <c r="K157" s="2" t="str">
        <f t="shared" si="7"/>
        <v/>
      </c>
      <c r="L157" s="10">
        <v>18.828763804736599</v>
      </c>
      <c r="M157" s="14">
        <v>1.1536599999999999</v>
      </c>
      <c r="N157" s="2"/>
      <c r="O157" s="2">
        <v>1</v>
      </c>
      <c r="P157" s="2">
        <v>0</v>
      </c>
      <c r="Q157" s="2">
        <f t="shared" si="8"/>
        <v>0</v>
      </c>
      <c r="R157" s="2"/>
      <c r="S157" s="2"/>
      <c r="T157" s="2"/>
    </row>
    <row r="158" spans="1:20" ht="15">
      <c r="A158" s="2" t="s">
        <v>136</v>
      </c>
      <c r="B158" s="2">
        <v>2016</v>
      </c>
      <c r="C158" s="6">
        <v>1409.7996685799872</v>
      </c>
      <c r="D158" s="7">
        <v>1.111225827514988E-2</v>
      </c>
      <c r="E158" s="10">
        <v>15.32</v>
      </c>
      <c r="F158" s="11">
        <v>32908657.881999999</v>
      </c>
      <c r="G158" s="11">
        <v>45643837.019000001</v>
      </c>
      <c r="H158" s="2">
        <f t="shared" si="6"/>
        <v>-12735179.137000002</v>
      </c>
      <c r="I158" s="15">
        <v>0</v>
      </c>
      <c r="J158" s="15">
        <v>0</v>
      </c>
      <c r="K158" s="2" t="str">
        <f t="shared" si="7"/>
        <v/>
      </c>
      <c r="L158" s="10">
        <v>17.767452239618098</v>
      </c>
      <c r="M158" s="14">
        <v>0.78512999999999999</v>
      </c>
      <c r="N158" s="2"/>
      <c r="O158" s="2">
        <v>1</v>
      </c>
      <c r="P158" s="2">
        <v>0</v>
      </c>
      <c r="Q158" s="2">
        <f t="shared" si="8"/>
        <v>0</v>
      </c>
      <c r="R158" s="2"/>
      <c r="S158" s="2"/>
      <c r="T158" s="2"/>
    </row>
    <row r="159" spans="1:20" ht="15">
      <c r="A159" s="2" t="s">
        <v>136</v>
      </c>
      <c r="B159" s="2">
        <v>2017</v>
      </c>
      <c r="C159" s="6">
        <v>1434.5017126619675</v>
      </c>
      <c r="D159" s="7">
        <v>1.1005130980479488E-2</v>
      </c>
      <c r="E159" s="10">
        <v>17.739999999999998</v>
      </c>
      <c r="F159" s="11">
        <v>42642241.548</v>
      </c>
      <c r="G159" s="11">
        <v>22051588.888999999</v>
      </c>
      <c r="H159" s="2">
        <f t="shared" si="6"/>
        <v>20590652.659000002</v>
      </c>
      <c r="I159" s="15">
        <v>18</v>
      </c>
      <c r="J159" s="15">
        <v>47</v>
      </c>
      <c r="K159" s="2">
        <f t="shared" si="7"/>
        <v>0.38297872340425532</v>
      </c>
      <c r="L159" s="10">
        <v>17.119865414898701</v>
      </c>
      <c r="M159" s="14">
        <v>0.88153000000000004</v>
      </c>
      <c r="N159" s="2"/>
      <c r="O159" s="2">
        <v>1</v>
      </c>
      <c r="P159" s="2">
        <v>0</v>
      </c>
      <c r="Q159" s="2">
        <f t="shared" si="8"/>
        <v>0</v>
      </c>
      <c r="R159" s="2"/>
      <c r="S159" s="2"/>
      <c r="T159" s="2"/>
    </row>
    <row r="160" spans="1:20" ht="15">
      <c r="A160" s="2" t="s">
        <v>136</v>
      </c>
      <c r="B160" s="2">
        <v>2018</v>
      </c>
      <c r="C160" s="6">
        <v>1629.7988351419247</v>
      </c>
      <c r="D160" s="7">
        <v>1.2063026689164084E-2</v>
      </c>
      <c r="E160" s="10">
        <v>22.27</v>
      </c>
      <c r="F160" s="11">
        <v>62561143.960000001</v>
      </c>
      <c r="G160" s="11">
        <v>40306061.895999998</v>
      </c>
      <c r="H160" s="2">
        <f t="shared" si="6"/>
        <v>22255082.064000003</v>
      </c>
      <c r="I160" s="15">
        <v>18</v>
      </c>
      <c r="J160" s="15">
        <v>34</v>
      </c>
      <c r="K160" s="2">
        <f t="shared" si="7"/>
        <v>0.52941176470588236</v>
      </c>
      <c r="L160" s="10">
        <v>18.107047254531</v>
      </c>
      <c r="M160" s="14">
        <v>0.83184000000000002</v>
      </c>
      <c r="N160" s="2"/>
      <c r="O160" s="2">
        <v>1</v>
      </c>
      <c r="P160" s="2">
        <v>0</v>
      </c>
      <c r="Q160" s="2">
        <f t="shared" si="8"/>
        <v>0</v>
      </c>
      <c r="R160" s="2"/>
      <c r="S160" s="2"/>
      <c r="T160" s="2"/>
    </row>
    <row r="161" spans="1:20" ht="15">
      <c r="A161" s="2" t="s">
        <v>136</v>
      </c>
      <c r="B161" s="2">
        <v>2019</v>
      </c>
      <c r="C161" s="6">
        <v>2341.5973979963546</v>
      </c>
      <c r="D161" s="7">
        <v>1.6989346855596919E-2</v>
      </c>
      <c r="E161" s="10">
        <v>40.07</v>
      </c>
      <c r="F161" s="11">
        <v>61085774.375</v>
      </c>
      <c r="G161" s="11">
        <v>29672434.923</v>
      </c>
      <c r="H161" s="2">
        <f t="shared" si="6"/>
        <v>31413339.452</v>
      </c>
      <c r="I161" s="15">
        <v>15</v>
      </c>
      <c r="J161" s="15">
        <v>15</v>
      </c>
      <c r="K161" s="2">
        <f t="shared" si="7"/>
        <v>1</v>
      </c>
      <c r="L161" s="10">
        <v>18.7020217269875</v>
      </c>
      <c r="M161" s="14">
        <v>0.82138</v>
      </c>
      <c r="N161" s="2"/>
      <c r="O161" s="2">
        <v>1</v>
      </c>
      <c r="P161" s="2">
        <v>0</v>
      </c>
      <c r="Q161" s="2">
        <f t="shared" si="8"/>
        <v>0</v>
      </c>
      <c r="R161" s="2"/>
      <c r="S161" s="2"/>
      <c r="T161" s="2"/>
    </row>
    <row r="162" spans="1:20" ht="15">
      <c r="A162" s="2" t="s">
        <v>136</v>
      </c>
      <c r="B162" s="2">
        <v>2020</v>
      </c>
      <c r="C162" s="6">
        <v>2470.7130138552502</v>
      </c>
      <c r="D162" s="7">
        <v>1.8317316804540955E-2</v>
      </c>
      <c r="E162" s="10">
        <v>31.84</v>
      </c>
      <c r="F162" s="11">
        <v>55001712.454000004</v>
      </c>
      <c r="G162" s="11">
        <v>32930690.359999999</v>
      </c>
      <c r="H162" s="2">
        <f t="shared" si="6"/>
        <v>22071022.094000004</v>
      </c>
      <c r="I162" s="15">
        <v>22</v>
      </c>
      <c r="J162" s="15">
        <v>25</v>
      </c>
      <c r="K162" s="2">
        <f t="shared" si="7"/>
        <v>0.88</v>
      </c>
      <c r="L162" s="10">
        <v>17.5406369148503</v>
      </c>
      <c r="M162" s="14">
        <v>0.88944000000000001</v>
      </c>
      <c r="N162" s="2"/>
      <c r="O162" s="2">
        <v>1</v>
      </c>
      <c r="P162" s="2">
        <v>0</v>
      </c>
      <c r="Q162" s="2">
        <f t="shared" si="8"/>
        <v>0</v>
      </c>
      <c r="R162" s="2"/>
      <c r="S162" s="2"/>
      <c r="T162" s="2"/>
    </row>
    <row r="163" spans="1:20" ht="15">
      <c r="A163" s="2" t="s">
        <v>136</v>
      </c>
      <c r="B163" s="2">
        <v>2021</v>
      </c>
      <c r="C163" s="6">
        <v>2326.6449356232306</v>
      </c>
      <c r="D163" s="7">
        <v>1.645939390434752E-2</v>
      </c>
      <c r="E163" s="10">
        <v>32.340000000000003</v>
      </c>
      <c r="F163" s="11">
        <v>86937037.898000002</v>
      </c>
      <c r="G163" s="11">
        <v>60767373.342</v>
      </c>
      <c r="H163" s="2">
        <f t="shared" si="6"/>
        <v>26169664.556000002</v>
      </c>
      <c r="I163" s="15">
        <v>0</v>
      </c>
      <c r="J163" s="15">
        <v>1</v>
      </c>
      <c r="K163" s="2">
        <f t="shared" si="7"/>
        <v>0</v>
      </c>
      <c r="L163" s="10">
        <v>16.627351179566201</v>
      </c>
      <c r="M163" s="14">
        <v>0.90093000000000001</v>
      </c>
      <c r="N163" s="2"/>
      <c r="O163" s="2">
        <v>1</v>
      </c>
      <c r="P163" s="2">
        <v>0</v>
      </c>
      <c r="Q163" s="2">
        <f t="shared" si="8"/>
        <v>0</v>
      </c>
      <c r="R163" s="2"/>
      <c r="S163" s="2"/>
      <c r="T163" s="2"/>
    </row>
    <row r="164" spans="1:20" ht="15">
      <c r="A164" s="2" t="s">
        <v>136</v>
      </c>
      <c r="B164" s="2">
        <v>2022</v>
      </c>
      <c r="C164" s="6">
        <v>2415.434114933375</v>
      </c>
      <c r="D164" s="7">
        <v>1.7847448227752843E-2</v>
      </c>
      <c r="E164" s="10">
        <v>36.54</v>
      </c>
      <c r="F164" s="11">
        <v>249757724.97299999</v>
      </c>
      <c r="G164" s="11">
        <v>75157404.405000001</v>
      </c>
      <c r="H164" s="2">
        <f t="shared" si="6"/>
        <v>174600320.56799999</v>
      </c>
      <c r="I164" s="15">
        <v>0</v>
      </c>
      <c r="J164" s="15">
        <v>3</v>
      </c>
      <c r="K164" s="2">
        <f t="shared" si="7"/>
        <v>0</v>
      </c>
      <c r="L164" s="10">
        <v>17.350643108460101</v>
      </c>
      <c r="M164" s="14">
        <v>0.97685999999999995</v>
      </c>
      <c r="N164" s="2"/>
      <c r="O164" s="2">
        <v>1</v>
      </c>
      <c r="P164" s="2">
        <v>1</v>
      </c>
      <c r="Q164" s="2">
        <f t="shared" si="8"/>
        <v>1</v>
      </c>
      <c r="R164" s="2"/>
      <c r="S164" s="2"/>
      <c r="T164" s="2"/>
    </row>
    <row r="165" spans="1:20" ht="15">
      <c r="A165" s="2" t="s">
        <v>136</v>
      </c>
      <c r="B165" s="2">
        <v>2023</v>
      </c>
      <c r="C165" s="6">
        <v>2372.6897660000905</v>
      </c>
      <c r="D165" s="7">
        <v>1.7355347514658184E-2</v>
      </c>
      <c r="E165" s="10">
        <v>26.08</v>
      </c>
      <c r="F165" s="11">
        <v>471278025.47399998</v>
      </c>
      <c r="G165" s="11">
        <v>338935506.13099998</v>
      </c>
      <c r="H165" s="2">
        <f t="shared" si="6"/>
        <v>132342519.34299999</v>
      </c>
      <c r="I165" s="15">
        <v>0</v>
      </c>
      <c r="J165" s="15">
        <v>30</v>
      </c>
      <c r="K165" s="2">
        <f t="shared" si="7"/>
        <v>0</v>
      </c>
      <c r="L165" s="10">
        <v>16.846946209518901</v>
      </c>
      <c r="M165" s="14">
        <v>1.03359</v>
      </c>
      <c r="N165" s="2"/>
      <c r="O165" s="2">
        <v>1</v>
      </c>
      <c r="P165" s="2">
        <v>1</v>
      </c>
      <c r="Q165" s="2">
        <f t="shared" si="8"/>
        <v>1</v>
      </c>
      <c r="R165" s="2"/>
      <c r="S165" s="2"/>
      <c r="T165" s="2"/>
    </row>
    <row r="166" spans="1:20" ht="15">
      <c r="A166" s="2" t="s">
        <v>136</v>
      </c>
      <c r="B166" s="2">
        <v>2024</v>
      </c>
      <c r="C166" s="6">
        <v>2786.5180214308907</v>
      </c>
      <c r="D166" s="7">
        <v>1.9772007023864675E-2</v>
      </c>
      <c r="E166" s="10">
        <v>35.17</v>
      </c>
      <c r="F166" s="11">
        <v>1135056850.6040001</v>
      </c>
      <c r="G166" s="11">
        <v>815433002.86899996</v>
      </c>
      <c r="H166" s="2">
        <f t="shared" si="6"/>
        <v>319623847.73500013</v>
      </c>
      <c r="I166" s="15">
        <v>176</v>
      </c>
      <c r="J166" s="15">
        <v>181</v>
      </c>
      <c r="K166" s="2">
        <f t="shared" si="7"/>
        <v>0.97237569060773477</v>
      </c>
      <c r="L166" s="10">
        <v>16.327904870625002</v>
      </c>
      <c r="M166" s="14"/>
      <c r="N166" s="2"/>
      <c r="O166" s="2">
        <v>1</v>
      </c>
      <c r="P166" s="2">
        <v>1</v>
      </c>
      <c r="Q166" s="2">
        <f t="shared" si="8"/>
        <v>1</v>
      </c>
      <c r="R166" s="2"/>
      <c r="S166" s="2"/>
      <c r="T166" s="2"/>
    </row>
    <row r="167" spans="1:20" ht="15">
      <c r="A167" s="2" t="s">
        <v>137</v>
      </c>
      <c r="B167" s="2">
        <v>2014</v>
      </c>
      <c r="C167" s="6">
        <v>640.34900458300467</v>
      </c>
      <c r="D167" s="7">
        <v>1.8953547777956423E-2</v>
      </c>
      <c r="E167" s="10">
        <v>22.15</v>
      </c>
      <c r="F167" s="11">
        <v>594561</v>
      </c>
      <c r="G167" s="11">
        <v>14184630</v>
      </c>
      <c r="H167" s="2">
        <f t="shared" si="6"/>
        <v>-13590069</v>
      </c>
      <c r="I167" s="15">
        <v>0</v>
      </c>
      <c r="J167" s="15">
        <v>2</v>
      </c>
      <c r="K167" s="2">
        <f t="shared" si="7"/>
        <v>0</v>
      </c>
      <c r="L167" s="10">
        <v>13.9610951419012</v>
      </c>
      <c r="M167" s="14">
        <v>1.40794</v>
      </c>
      <c r="N167" s="2"/>
      <c r="O167" s="2">
        <v>1</v>
      </c>
      <c r="P167" s="2">
        <v>0</v>
      </c>
      <c r="Q167" s="2">
        <f t="shared" si="8"/>
        <v>0</v>
      </c>
      <c r="R167" s="2"/>
      <c r="S167" s="2"/>
      <c r="T167" s="2"/>
    </row>
    <row r="168" spans="1:20" ht="15">
      <c r="A168" s="2" t="s">
        <v>137</v>
      </c>
      <c r="B168" s="2">
        <v>2015</v>
      </c>
      <c r="C168" s="6">
        <v>696.86578390900013</v>
      </c>
      <c r="D168" s="7">
        <v>1.9894450175452775E-2</v>
      </c>
      <c r="E168" s="10">
        <v>12.82</v>
      </c>
      <c r="F168" s="11">
        <v>565976</v>
      </c>
      <c r="G168" s="11">
        <v>23013010</v>
      </c>
      <c r="H168" s="2">
        <f t="shared" si="6"/>
        <v>-22447034</v>
      </c>
      <c r="I168" s="15">
        <v>2</v>
      </c>
      <c r="J168" s="15">
        <v>18</v>
      </c>
      <c r="K168" s="2">
        <f t="shared" si="7"/>
        <v>0.1111111111111111</v>
      </c>
      <c r="L168" s="10">
        <v>13.654746099462299</v>
      </c>
      <c r="M168" s="14">
        <v>1.4412499999999999</v>
      </c>
      <c r="N168" s="2"/>
      <c r="O168" s="2">
        <v>1</v>
      </c>
      <c r="P168" s="2">
        <v>0</v>
      </c>
      <c r="Q168" s="2">
        <f t="shared" si="8"/>
        <v>0</v>
      </c>
      <c r="R168" s="2"/>
      <c r="S168" s="2"/>
      <c r="T168" s="2"/>
    </row>
    <row r="169" spans="1:20" ht="15">
      <c r="A169" s="2" t="s">
        <v>137</v>
      </c>
      <c r="B169" s="2">
        <v>2016</v>
      </c>
      <c r="C169" s="6">
        <v>749.10056119013939</v>
      </c>
      <c r="D169" s="7">
        <v>2.0280356335514265E-2</v>
      </c>
      <c r="E169" s="10">
        <v>17.86</v>
      </c>
      <c r="F169" s="11">
        <v>542267.41299999994</v>
      </c>
      <c r="G169" s="11">
        <v>64494377.836000003</v>
      </c>
      <c r="H169" s="2">
        <f t="shared" si="6"/>
        <v>-63952110.423</v>
      </c>
      <c r="I169" s="15">
        <v>2</v>
      </c>
      <c r="J169" s="15">
        <v>32</v>
      </c>
      <c r="K169" s="2">
        <f t="shared" si="7"/>
        <v>6.25E-2</v>
      </c>
      <c r="L169" s="10">
        <v>13.610476273357399</v>
      </c>
      <c r="M169" s="14">
        <v>1.21835</v>
      </c>
      <c r="N169" s="2"/>
      <c r="O169" s="2">
        <v>1</v>
      </c>
      <c r="P169" s="2">
        <v>0</v>
      </c>
      <c r="Q169" s="2">
        <f t="shared" si="8"/>
        <v>0</v>
      </c>
      <c r="R169" s="2"/>
      <c r="S169" s="2"/>
      <c r="T169" s="2"/>
    </row>
    <row r="170" spans="1:20" ht="15">
      <c r="A170" s="2" t="s">
        <v>137</v>
      </c>
      <c r="B170" s="2">
        <v>2017</v>
      </c>
      <c r="C170" s="6">
        <v>771.02808528326284</v>
      </c>
      <c r="D170" s="7">
        <v>1.969886705478208E-2</v>
      </c>
      <c r="E170" s="10">
        <v>19.22</v>
      </c>
      <c r="F170" s="11">
        <v>1436728.5319999999</v>
      </c>
      <c r="G170" s="11">
        <v>29651310.425000001</v>
      </c>
      <c r="H170" s="2">
        <f t="shared" si="6"/>
        <v>-28214581.892999999</v>
      </c>
      <c r="I170" s="15">
        <v>2</v>
      </c>
      <c r="J170" s="15">
        <v>36</v>
      </c>
      <c r="K170" s="2">
        <f t="shared" si="7"/>
        <v>5.5555555555555552E-2</v>
      </c>
      <c r="L170" s="10">
        <v>13.340891282856401</v>
      </c>
      <c r="M170" s="14">
        <v>1.25152</v>
      </c>
      <c r="N170" s="2"/>
      <c r="O170" s="2">
        <v>1</v>
      </c>
      <c r="P170" s="2">
        <v>0</v>
      </c>
      <c r="Q170" s="2">
        <f t="shared" si="8"/>
        <v>0</v>
      </c>
      <c r="R170" s="2"/>
      <c r="S170" s="2"/>
      <c r="T170" s="2"/>
    </row>
    <row r="171" spans="1:20" ht="15">
      <c r="A171" s="2" t="s">
        <v>137</v>
      </c>
      <c r="B171" s="2">
        <v>2018</v>
      </c>
      <c r="C171" s="6">
        <v>810.77307502137455</v>
      </c>
      <c r="D171" s="7">
        <v>1.9706131174318769E-2</v>
      </c>
      <c r="E171" s="10">
        <v>16.510000000000002</v>
      </c>
      <c r="F171" s="11">
        <v>1833294.91</v>
      </c>
      <c r="G171" s="11">
        <v>47369251.285999998</v>
      </c>
      <c r="H171" s="2">
        <f t="shared" si="6"/>
        <v>-45535956.376000002</v>
      </c>
      <c r="I171" s="15">
        <v>0</v>
      </c>
      <c r="J171" s="15">
        <v>19</v>
      </c>
      <c r="K171" s="2">
        <f t="shared" si="7"/>
        <v>0</v>
      </c>
      <c r="L171" s="10">
        <v>13.2138423128235</v>
      </c>
      <c r="M171" s="14">
        <v>1.3829800000000001</v>
      </c>
      <c r="N171" s="2"/>
      <c r="O171" s="2">
        <v>1</v>
      </c>
      <c r="P171" s="2">
        <v>0</v>
      </c>
      <c r="Q171" s="2">
        <f t="shared" si="8"/>
        <v>0</v>
      </c>
      <c r="R171" s="2"/>
      <c r="S171" s="2"/>
      <c r="T171" s="2"/>
    </row>
    <row r="172" spans="1:20" ht="15">
      <c r="A172" s="2" t="s">
        <v>137</v>
      </c>
      <c r="B172" s="2">
        <v>2019</v>
      </c>
      <c r="C172" s="6">
        <v>865.75454264811549</v>
      </c>
      <c r="D172" s="7">
        <v>1.9984501867074407E-2</v>
      </c>
      <c r="E172" s="10">
        <v>15.5</v>
      </c>
      <c r="F172" s="11">
        <v>1570966.0959999999</v>
      </c>
      <c r="G172" s="11">
        <v>61108204.512000002</v>
      </c>
      <c r="H172" s="2">
        <f t="shared" si="6"/>
        <v>-59537238.416000001</v>
      </c>
      <c r="I172" s="15">
        <v>2</v>
      </c>
      <c r="J172" s="15">
        <v>20</v>
      </c>
      <c r="K172" s="2">
        <f t="shared" si="7"/>
        <v>0.1</v>
      </c>
      <c r="L172" s="10">
        <v>12.8803241268467</v>
      </c>
      <c r="M172" s="14">
        <v>1.59093</v>
      </c>
      <c r="N172" s="2"/>
      <c r="O172" s="2">
        <v>1</v>
      </c>
      <c r="P172" s="2">
        <v>0</v>
      </c>
      <c r="Q172" s="2">
        <f t="shared" si="8"/>
        <v>0</v>
      </c>
      <c r="R172" s="2"/>
      <c r="S172" s="2"/>
      <c r="T172" s="2"/>
    </row>
    <row r="173" spans="1:20" ht="15">
      <c r="A173" s="2" t="s">
        <v>137</v>
      </c>
      <c r="B173" s="2">
        <v>2020</v>
      </c>
      <c r="C173" s="6">
        <v>962.84845936373904</v>
      </c>
      <c r="D173" s="7">
        <v>2.2613642833291894E-2</v>
      </c>
      <c r="E173" s="10">
        <v>23</v>
      </c>
      <c r="F173" s="11">
        <v>1885352.43</v>
      </c>
      <c r="G173" s="11">
        <v>95734200.450000003</v>
      </c>
      <c r="H173" s="2">
        <f t="shared" si="6"/>
        <v>-93848848.019999996</v>
      </c>
      <c r="I173" s="15">
        <v>4</v>
      </c>
      <c r="J173" s="15">
        <v>25</v>
      </c>
      <c r="K173" s="2">
        <f t="shared" si="7"/>
        <v>0.16</v>
      </c>
      <c r="L173" s="10">
        <v>12.5917858133422</v>
      </c>
      <c r="M173" s="14">
        <v>1.72614</v>
      </c>
      <c r="N173" s="2"/>
      <c r="O173" s="2">
        <v>1</v>
      </c>
      <c r="P173" s="2">
        <v>0</v>
      </c>
      <c r="Q173" s="2">
        <f t="shared" si="8"/>
        <v>0</v>
      </c>
      <c r="R173" s="2"/>
      <c r="S173" s="2"/>
      <c r="T173" s="2"/>
    </row>
    <row r="174" spans="1:20" ht="15">
      <c r="A174" s="2" t="s">
        <v>137</v>
      </c>
      <c r="B174" s="2">
        <v>2021</v>
      </c>
      <c r="C174" s="6">
        <v>924.41870817436927</v>
      </c>
      <c r="D174" s="7">
        <v>2.0125066209758947E-2</v>
      </c>
      <c r="E174" s="10">
        <v>23.18</v>
      </c>
      <c r="F174" s="11">
        <v>6536605.8300000001</v>
      </c>
      <c r="G174" s="11">
        <v>57289202.130000003</v>
      </c>
      <c r="H174" s="2">
        <f t="shared" si="6"/>
        <v>-50752596.300000004</v>
      </c>
      <c r="I174" s="15">
        <v>2</v>
      </c>
      <c r="J174" s="15">
        <v>20</v>
      </c>
      <c r="K174" s="2">
        <f t="shared" si="7"/>
        <v>0.1</v>
      </c>
      <c r="L174" s="10">
        <v>13.0310279238311</v>
      </c>
      <c r="M174" s="14">
        <v>1.75152</v>
      </c>
      <c r="N174" s="2"/>
      <c r="O174" s="2">
        <v>1</v>
      </c>
      <c r="P174" s="2">
        <v>0</v>
      </c>
      <c r="Q174" s="2">
        <f t="shared" si="8"/>
        <v>0</v>
      </c>
      <c r="R174" s="2"/>
      <c r="S174" s="2"/>
      <c r="T174" s="2"/>
    </row>
    <row r="175" spans="1:20" ht="15">
      <c r="A175" s="2" t="s">
        <v>137</v>
      </c>
      <c r="B175" s="2">
        <v>2022</v>
      </c>
      <c r="C175" s="6">
        <v>951.58284227201739</v>
      </c>
      <c r="D175" s="7">
        <v>2.1431959374882244E-2</v>
      </c>
      <c r="E175" s="10">
        <v>21.86</v>
      </c>
      <c r="F175" s="11">
        <v>26870770.460000001</v>
      </c>
      <c r="G175" s="11">
        <v>50256334.960000001</v>
      </c>
      <c r="H175" s="2">
        <f t="shared" si="6"/>
        <v>-23385564.5</v>
      </c>
      <c r="I175" s="15">
        <v>0</v>
      </c>
      <c r="J175" s="15">
        <v>15</v>
      </c>
      <c r="K175" s="2">
        <f t="shared" si="7"/>
        <v>0</v>
      </c>
      <c r="L175" s="10">
        <v>11.9959443459943</v>
      </c>
      <c r="M175" s="14">
        <v>1.7609399999999999</v>
      </c>
      <c r="N175" s="2"/>
      <c r="O175" s="2">
        <v>1</v>
      </c>
      <c r="P175" s="2">
        <v>1</v>
      </c>
      <c r="Q175" s="2">
        <f t="shared" si="8"/>
        <v>1</v>
      </c>
      <c r="R175" s="2"/>
      <c r="S175" s="2"/>
      <c r="T175" s="2"/>
    </row>
    <row r="176" spans="1:20" ht="15">
      <c r="A176" s="2" t="s">
        <v>137</v>
      </c>
      <c r="B176" s="2">
        <v>2023</v>
      </c>
      <c r="C176" s="6">
        <v>1281.8363596316453</v>
      </c>
      <c r="D176" s="7">
        <v>2.9827852332715003E-2</v>
      </c>
      <c r="E176" s="10">
        <v>16.72</v>
      </c>
      <c r="F176" s="11">
        <v>2123182.88</v>
      </c>
      <c r="G176" s="11">
        <v>121755044.76000001</v>
      </c>
      <c r="H176" s="2">
        <f t="shared" si="6"/>
        <v>-119631861.88000001</v>
      </c>
      <c r="I176" s="15">
        <v>0</v>
      </c>
      <c r="J176" s="15">
        <v>23</v>
      </c>
      <c r="K176" s="2">
        <f t="shared" si="7"/>
        <v>0</v>
      </c>
      <c r="L176" s="10">
        <v>11.412118060412601</v>
      </c>
      <c r="M176" s="14">
        <v>1.8387800000000001</v>
      </c>
      <c r="N176" s="2"/>
      <c r="O176" s="2">
        <v>1</v>
      </c>
      <c r="P176" s="2">
        <v>1</v>
      </c>
      <c r="Q176" s="2">
        <f t="shared" si="8"/>
        <v>1</v>
      </c>
      <c r="R176" s="2"/>
      <c r="S176" s="2"/>
      <c r="T176" s="2"/>
    </row>
    <row r="177" spans="1:20" ht="15">
      <c r="A177" s="2" t="s">
        <v>137</v>
      </c>
      <c r="B177" s="2">
        <v>2024</v>
      </c>
      <c r="C177" s="6">
        <v>1424.4126968750015</v>
      </c>
      <c r="D177" s="7">
        <v>3.3025708930498429E-2</v>
      </c>
      <c r="E177" s="10">
        <v>23.24</v>
      </c>
      <c r="F177" s="11">
        <v>810742.12</v>
      </c>
      <c r="G177" s="11">
        <v>195359091.22</v>
      </c>
      <c r="H177" s="2">
        <f t="shared" si="6"/>
        <v>-194548349.09999999</v>
      </c>
      <c r="I177" s="15">
        <v>0</v>
      </c>
      <c r="J177" s="15">
        <v>115</v>
      </c>
      <c r="K177" s="2">
        <f t="shared" si="7"/>
        <v>0</v>
      </c>
      <c r="L177" s="10">
        <v>10.834211843962899</v>
      </c>
      <c r="M177" s="14"/>
      <c r="N177" s="2"/>
      <c r="O177" s="2">
        <v>1</v>
      </c>
      <c r="P177" s="2">
        <v>1</v>
      </c>
      <c r="Q177" s="2">
        <f t="shared" si="8"/>
        <v>1</v>
      </c>
      <c r="R177" s="2"/>
      <c r="S177" s="2"/>
      <c r="T177" s="2"/>
    </row>
    <row r="178" spans="1:20" ht="15">
      <c r="A178" s="2" t="s">
        <v>138</v>
      </c>
      <c r="B178" s="2">
        <v>2014</v>
      </c>
      <c r="C178" s="6">
        <v>351.78491677720234</v>
      </c>
      <c r="D178" s="7">
        <v>9.7803888066543502E-3</v>
      </c>
      <c r="E178" s="10">
        <v>7.55</v>
      </c>
      <c r="F178" s="11">
        <v>567108.03300000005</v>
      </c>
      <c r="G178" s="11">
        <v>4074570.2420000001</v>
      </c>
      <c r="H178" s="2">
        <f t="shared" si="6"/>
        <v>-3507462.2089999998</v>
      </c>
      <c r="I178" s="15">
        <v>0</v>
      </c>
      <c r="J178" s="15">
        <v>5</v>
      </c>
      <c r="K178" s="2">
        <f t="shared" si="7"/>
        <v>0</v>
      </c>
      <c r="L178" s="10">
        <v>10.8995654111219</v>
      </c>
      <c r="M178" s="14">
        <v>0.71433000000000002</v>
      </c>
      <c r="N178" s="2"/>
      <c r="O178" s="2">
        <v>1</v>
      </c>
      <c r="P178" s="2">
        <v>0</v>
      </c>
      <c r="Q178" s="2">
        <f t="shared" si="8"/>
        <v>0</v>
      </c>
      <c r="R178" s="2"/>
      <c r="S178" s="2"/>
      <c r="T178" s="2"/>
    </row>
    <row r="179" spans="1:20" ht="15">
      <c r="A179" s="2" t="s">
        <v>138</v>
      </c>
      <c r="B179" s="2">
        <v>2015</v>
      </c>
      <c r="C179" s="6">
        <v>401.58817441653787</v>
      </c>
      <c r="D179" s="7">
        <v>1.0735224757239254E-2</v>
      </c>
      <c r="E179" s="10">
        <v>13.6</v>
      </c>
      <c r="F179" s="11">
        <v>173765.51300000001</v>
      </c>
      <c r="G179" s="11">
        <v>3331684.9240000001</v>
      </c>
      <c r="H179" s="2">
        <f t="shared" si="6"/>
        <v>-3157919.4110000003</v>
      </c>
      <c r="I179" s="15">
        <v>0</v>
      </c>
      <c r="J179" s="15">
        <v>3</v>
      </c>
      <c r="K179" s="2">
        <f t="shared" si="7"/>
        <v>0</v>
      </c>
      <c r="L179" s="10">
        <v>10.8460810091263</v>
      </c>
      <c r="M179" s="14">
        <v>0.64100000000000001</v>
      </c>
      <c r="N179" s="2"/>
      <c r="O179" s="2">
        <v>1</v>
      </c>
      <c r="P179" s="2">
        <v>0</v>
      </c>
      <c r="Q179" s="2">
        <f t="shared" si="8"/>
        <v>0</v>
      </c>
      <c r="R179" s="2"/>
      <c r="S179" s="2"/>
      <c r="T179" s="2"/>
    </row>
    <row r="180" spans="1:20" ht="15">
      <c r="A180" s="2" t="s">
        <v>138</v>
      </c>
      <c r="B180" s="2">
        <v>2016</v>
      </c>
      <c r="C180" s="6">
        <v>578.8026812143637</v>
      </c>
      <c r="D180" s="7">
        <v>1.5017445790041332E-2</v>
      </c>
      <c r="E180" s="10">
        <v>19.05</v>
      </c>
      <c r="F180" s="11">
        <v>322652.26199999999</v>
      </c>
      <c r="G180" s="11">
        <v>8362213.8310000002</v>
      </c>
      <c r="H180" s="2">
        <f t="shared" si="6"/>
        <v>-8039561.5690000001</v>
      </c>
      <c r="I180" s="15">
        <v>20</v>
      </c>
      <c r="J180" s="15">
        <v>28</v>
      </c>
      <c r="K180" s="2">
        <f t="shared" si="7"/>
        <v>0.7142857142857143</v>
      </c>
      <c r="L180" s="10">
        <v>10.5392671306849</v>
      </c>
      <c r="M180" s="14">
        <v>0.45065</v>
      </c>
      <c r="N180" s="2"/>
      <c r="O180" s="2">
        <v>1</v>
      </c>
      <c r="P180" s="2">
        <v>0</v>
      </c>
      <c r="Q180" s="2">
        <f t="shared" si="8"/>
        <v>0</v>
      </c>
      <c r="R180" s="2"/>
      <c r="S180" s="2"/>
      <c r="T180" s="2"/>
    </row>
    <row r="181" spans="1:20" ht="15">
      <c r="A181" s="2" t="s">
        <v>138</v>
      </c>
      <c r="B181" s="2">
        <v>2017</v>
      </c>
      <c r="C181" s="6">
        <v>657.24258801407552</v>
      </c>
      <c r="D181" s="7">
        <v>1.6527573681460919E-2</v>
      </c>
      <c r="E181" s="10">
        <v>15.01</v>
      </c>
      <c r="F181" s="11">
        <v>448860.67</v>
      </c>
      <c r="G181" s="11">
        <v>6725789.6770000001</v>
      </c>
      <c r="H181" s="2">
        <f t="shared" si="6"/>
        <v>-6276929.0070000002</v>
      </c>
      <c r="I181" s="15">
        <v>0</v>
      </c>
      <c r="J181" s="15">
        <v>30</v>
      </c>
      <c r="K181" s="2">
        <f t="shared" si="7"/>
        <v>0</v>
      </c>
      <c r="L181" s="10">
        <v>10.8745823136205</v>
      </c>
      <c r="M181" s="14">
        <v>0.53003999999999996</v>
      </c>
      <c r="N181" s="2"/>
      <c r="O181" s="2">
        <v>1</v>
      </c>
      <c r="P181" s="2">
        <v>0</v>
      </c>
      <c r="Q181" s="2">
        <f t="shared" si="8"/>
        <v>0</v>
      </c>
      <c r="R181" s="2"/>
      <c r="S181" s="2"/>
      <c r="T181" s="2"/>
    </row>
    <row r="182" spans="1:20" ht="15">
      <c r="A182" s="2" t="s">
        <v>138</v>
      </c>
      <c r="B182" s="2">
        <v>2018</v>
      </c>
      <c r="C182" s="6">
        <v>895.90485352162727</v>
      </c>
      <c r="D182" s="7">
        <v>2.1347300221859187E-2</v>
      </c>
      <c r="E182" s="10">
        <v>31.85</v>
      </c>
      <c r="F182" s="11">
        <v>946100.04</v>
      </c>
      <c r="G182" s="11">
        <v>24649847.355999999</v>
      </c>
      <c r="H182" s="2">
        <f t="shared" si="6"/>
        <v>-23703747.316</v>
      </c>
      <c r="I182" s="15">
        <v>11</v>
      </c>
      <c r="J182" s="15">
        <v>21</v>
      </c>
      <c r="K182" s="2">
        <f t="shared" si="7"/>
        <v>0.52380952380952384</v>
      </c>
      <c r="L182" s="10">
        <v>10.9412550358406</v>
      </c>
      <c r="M182" s="14">
        <v>0.66137999999999997</v>
      </c>
      <c r="N182" s="2"/>
      <c r="O182" s="2">
        <v>1</v>
      </c>
      <c r="P182" s="2">
        <v>0</v>
      </c>
      <c r="Q182" s="2">
        <f t="shared" si="8"/>
        <v>0</v>
      </c>
      <c r="R182" s="2"/>
      <c r="S182" s="2"/>
      <c r="T182" s="2"/>
    </row>
    <row r="183" spans="1:20" ht="15">
      <c r="A183" s="2" t="s">
        <v>138</v>
      </c>
      <c r="B183" s="2">
        <v>2019</v>
      </c>
      <c r="C183" s="6">
        <v>896.05482048023157</v>
      </c>
      <c r="D183" s="7">
        <v>2.090168022113572E-2</v>
      </c>
      <c r="E183" s="10">
        <v>21.65</v>
      </c>
      <c r="F183" s="11">
        <v>580668.06999999995</v>
      </c>
      <c r="G183" s="11">
        <v>23375636.414999999</v>
      </c>
      <c r="H183" s="2">
        <f t="shared" si="6"/>
        <v>-22794968.344999999</v>
      </c>
      <c r="I183" s="15">
        <v>22</v>
      </c>
      <c r="J183" s="15">
        <v>31</v>
      </c>
      <c r="K183" s="2">
        <f t="shared" si="7"/>
        <v>0.70967741935483875</v>
      </c>
      <c r="L183" s="10">
        <v>11.022531503956101</v>
      </c>
      <c r="M183" s="14">
        <v>0.66020000000000001</v>
      </c>
      <c r="N183" s="2"/>
      <c r="O183" s="2">
        <v>1</v>
      </c>
      <c r="P183" s="2">
        <v>0</v>
      </c>
      <c r="Q183" s="2">
        <f t="shared" si="8"/>
        <v>0</v>
      </c>
      <c r="R183" s="2"/>
      <c r="S183" s="2"/>
      <c r="T183" s="2"/>
    </row>
    <row r="184" spans="1:20" ht="15">
      <c r="A184" s="2" t="s">
        <v>138</v>
      </c>
      <c r="B184" s="2">
        <v>2020</v>
      </c>
      <c r="C184" s="6">
        <v>941.83916890247428</v>
      </c>
      <c r="D184" s="7">
        <v>2.2275952168637512E-2</v>
      </c>
      <c r="E184" s="10">
        <v>20.53</v>
      </c>
      <c r="F184" s="11">
        <v>196956.86900000001</v>
      </c>
      <c r="G184" s="11">
        <v>54709712.903999999</v>
      </c>
      <c r="H184" s="2">
        <f t="shared" si="6"/>
        <v>-54512756.034999996</v>
      </c>
      <c r="I184" s="15">
        <v>0</v>
      </c>
      <c r="J184" s="15">
        <v>10</v>
      </c>
      <c r="K184" s="2">
        <f t="shared" si="7"/>
        <v>0</v>
      </c>
      <c r="L184" s="10">
        <v>11.4825724036882</v>
      </c>
      <c r="M184" s="14">
        <v>0.75663000000000002</v>
      </c>
      <c r="N184" s="2"/>
      <c r="O184" s="2">
        <v>1</v>
      </c>
      <c r="P184" s="2">
        <v>0</v>
      </c>
      <c r="Q184" s="2">
        <f t="shared" si="8"/>
        <v>0</v>
      </c>
      <c r="R184" s="2"/>
      <c r="S184" s="2"/>
      <c r="T184" s="2"/>
    </row>
    <row r="185" spans="1:20" ht="15">
      <c r="A185" s="2" t="s">
        <v>138</v>
      </c>
      <c r="B185" s="2">
        <v>2021</v>
      </c>
      <c r="C185" s="6">
        <v>975.00379809996798</v>
      </c>
      <c r="D185" s="7">
        <v>2.1557798750514941E-2</v>
      </c>
      <c r="E185" s="10">
        <v>22.07</v>
      </c>
      <c r="F185" s="11">
        <v>1319383.4809999999</v>
      </c>
      <c r="G185" s="11">
        <v>76105770.621000007</v>
      </c>
      <c r="H185" s="2">
        <f t="shared" si="6"/>
        <v>-74786387.140000001</v>
      </c>
      <c r="I185" s="15">
        <v>0</v>
      </c>
      <c r="J185" s="15">
        <v>15</v>
      </c>
      <c r="K185" s="2">
        <f t="shared" si="7"/>
        <v>0</v>
      </c>
      <c r="L185" s="10">
        <v>12.848111740574099</v>
      </c>
      <c r="M185" s="14">
        <v>0.77085000000000004</v>
      </c>
      <c r="N185" s="2"/>
      <c r="O185" s="2">
        <v>1</v>
      </c>
      <c r="P185" s="2">
        <v>0</v>
      </c>
      <c r="Q185" s="2">
        <f t="shared" si="8"/>
        <v>0</v>
      </c>
      <c r="R185" s="2"/>
      <c r="S185" s="2"/>
      <c r="T185" s="2"/>
    </row>
    <row r="186" spans="1:20" ht="15">
      <c r="A186" s="2" t="s">
        <v>138</v>
      </c>
      <c r="B186" s="2">
        <v>2022</v>
      </c>
      <c r="C186" s="6">
        <v>972.04280546776818</v>
      </c>
      <c r="D186" s="7">
        <v>2.2546193105761919E-2</v>
      </c>
      <c r="E186" s="10">
        <v>24.65</v>
      </c>
      <c r="F186" s="11">
        <v>6557423.3279999997</v>
      </c>
      <c r="G186" s="11">
        <v>16256162.327</v>
      </c>
      <c r="H186" s="2">
        <f t="shared" si="6"/>
        <v>-9698738.9989999998</v>
      </c>
      <c r="I186" s="15">
        <v>15</v>
      </c>
      <c r="J186" s="15">
        <v>34</v>
      </c>
      <c r="K186" s="2">
        <f t="shared" si="7"/>
        <v>0.44117647058823528</v>
      </c>
      <c r="L186" s="10">
        <v>11.985253572166799</v>
      </c>
      <c r="M186" s="14">
        <v>0.81220000000000003</v>
      </c>
      <c r="N186" s="2"/>
      <c r="O186" s="2">
        <v>1</v>
      </c>
      <c r="P186" s="2">
        <v>1</v>
      </c>
      <c r="Q186" s="2">
        <f t="shared" si="8"/>
        <v>1</v>
      </c>
      <c r="R186" s="2"/>
      <c r="S186" s="2"/>
      <c r="T186" s="2"/>
    </row>
    <row r="187" spans="1:20" ht="15">
      <c r="A187" s="2" t="s">
        <v>138</v>
      </c>
      <c r="B187" s="2">
        <v>2023</v>
      </c>
      <c r="C187" s="6">
        <v>1272.0230910618036</v>
      </c>
      <c r="D187" s="7">
        <v>2.9332537597542993E-2</v>
      </c>
      <c r="E187" s="10">
        <v>31.57</v>
      </c>
      <c r="F187" s="11">
        <v>5326812.5489999996</v>
      </c>
      <c r="G187" s="11">
        <v>72630737.863999993</v>
      </c>
      <c r="H187" s="2">
        <f t="shared" si="6"/>
        <v>-67303925.314999998</v>
      </c>
      <c r="I187" s="15">
        <v>7</v>
      </c>
      <c r="J187" s="15">
        <v>47</v>
      </c>
      <c r="K187" s="2">
        <f t="shared" si="7"/>
        <v>0.14893617021276595</v>
      </c>
      <c r="L187" s="10">
        <v>10.881750963831699</v>
      </c>
      <c r="M187" s="14">
        <v>0.8236</v>
      </c>
      <c r="N187" s="2"/>
      <c r="O187" s="2">
        <v>1</v>
      </c>
      <c r="P187" s="2">
        <v>1</v>
      </c>
      <c r="Q187" s="2">
        <f t="shared" si="8"/>
        <v>1</v>
      </c>
      <c r="R187" s="2"/>
      <c r="S187" s="2"/>
      <c r="T187" s="2"/>
    </row>
    <row r="188" spans="1:20" ht="15">
      <c r="A188" s="2" t="s">
        <v>138</v>
      </c>
      <c r="B188" s="2">
        <v>2024</v>
      </c>
      <c r="C188" s="6">
        <v>1440.6484039062514</v>
      </c>
      <c r="D188" s="7">
        <v>3.2978665256537594E-2</v>
      </c>
      <c r="E188" s="10">
        <v>25.32</v>
      </c>
      <c r="F188" s="11">
        <v>3757498.4679999999</v>
      </c>
      <c r="G188" s="11">
        <v>50791335.358000003</v>
      </c>
      <c r="H188" s="2">
        <f t="shared" si="6"/>
        <v>-47033836.890000001</v>
      </c>
      <c r="I188" s="15">
        <v>0</v>
      </c>
      <c r="J188" s="15">
        <v>19</v>
      </c>
      <c r="K188" s="2">
        <f t="shared" si="7"/>
        <v>0</v>
      </c>
      <c r="L188" s="10">
        <v>9.9378643293886295</v>
      </c>
      <c r="M188" s="14"/>
      <c r="N188" s="2"/>
      <c r="O188" s="2">
        <v>1</v>
      </c>
      <c r="P188" s="2">
        <v>1</v>
      </c>
      <c r="Q188" s="2">
        <f t="shared" si="8"/>
        <v>1</v>
      </c>
      <c r="R188" s="2"/>
      <c r="S188" s="2"/>
      <c r="T188" s="2"/>
    </row>
    <row r="189" spans="1:20" ht="15">
      <c r="A189" s="2" t="s">
        <v>139</v>
      </c>
      <c r="B189" s="2">
        <v>2014</v>
      </c>
      <c r="C189" s="6">
        <v>529.17731758143964</v>
      </c>
      <c r="D189" s="7">
        <v>8.8373166907950683E-3</v>
      </c>
      <c r="E189" s="10">
        <v>14.06</v>
      </c>
      <c r="F189" s="11">
        <v>1317815</v>
      </c>
      <c r="G189" s="11">
        <v>3153133</v>
      </c>
      <c r="H189" s="2">
        <f t="shared" si="6"/>
        <v>-1835318</v>
      </c>
      <c r="I189" s="15">
        <v>0</v>
      </c>
      <c r="J189" s="15">
        <v>10</v>
      </c>
      <c r="K189" s="2">
        <f t="shared" si="7"/>
        <v>0</v>
      </c>
      <c r="L189" s="10">
        <v>17.4023635016509</v>
      </c>
      <c r="M189" s="14">
        <v>1.03495</v>
      </c>
      <c r="N189" s="2"/>
      <c r="O189" s="2">
        <v>1</v>
      </c>
      <c r="P189" s="2">
        <v>0</v>
      </c>
      <c r="Q189" s="2">
        <f t="shared" si="8"/>
        <v>0</v>
      </c>
      <c r="R189" s="2"/>
      <c r="S189" s="2"/>
      <c r="T189" s="2"/>
    </row>
    <row r="190" spans="1:20" ht="15">
      <c r="A190" s="2" t="s">
        <v>139</v>
      </c>
      <c r="B190" s="2">
        <v>2015</v>
      </c>
      <c r="C190" s="6">
        <v>705.02087374400196</v>
      </c>
      <c r="D190" s="7">
        <v>1.1348608509551264E-2</v>
      </c>
      <c r="E190" s="10">
        <v>21.55</v>
      </c>
      <c r="F190" s="11">
        <v>2743079</v>
      </c>
      <c r="G190" s="11">
        <v>18167382</v>
      </c>
      <c r="H190" s="2">
        <f t="shared" si="6"/>
        <v>-15424303</v>
      </c>
      <c r="I190" s="15">
        <v>2</v>
      </c>
      <c r="J190" s="15">
        <v>14</v>
      </c>
      <c r="K190" s="2">
        <f t="shared" si="7"/>
        <v>0.14285714285714285</v>
      </c>
      <c r="L190" s="10">
        <v>17.240039813343301</v>
      </c>
      <c r="M190" s="14">
        <v>1.04077</v>
      </c>
      <c r="N190" s="2"/>
      <c r="O190" s="2">
        <v>1</v>
      </c>
      <c r="P190" s="2">
        <v>0</v>
      </c>
      <c r="Q190" s="2">
        <f t="shared" si="8"/>
        <v>0</v>
      </c>
      <c r="R190" s="2"/>
      <c r="S190" s="2"/>
      <c r="T190" s="2"/>
    </row>
    <row r="191" spans="1:20" ht="15">
      <c r="A191" s="2" t="s">
        <v>139</v>
      </c>
      <c r="B191" s="2">
        <v>2016</v>
      </c>
      <c r="C191" s="6">
        <v>944.8566398663188</v>
      </c>
      <c r="D191" s="7">
        <v>1.4801383322025375E-2</v>
      </c>
      <c r="E191" s="10">
        <v>30.06</v>
      </c>
      <c r="F191" s="11">
        <v>8068432</v>
      </c>
      <c r="G191" s="11">
        <v>6465809</v>
      </c>
      <c r="H191" s="2">
        <f t="shared" si="6"/>
        <v>1602623</v>
      </c>
      <c r="I191" s="15">
        <v>0</v>
      </c>
      <c r="J191" s="15">
        <v>34</v>
      </c>
      <c r="K191" s="2">
        <f t="shared" si="7"/>
        <v>0</v>
      </c>
      <c r="L191" s="10">
        <v>16.807163890106501</v>
      </c>
      <c r="M191" s="14">
        <v>0.84391000000000005</v>
      </c>
      <c r="N191" s="2"/>
      <c r="O191" s="2">
        <v>1</v>
      </c>
      <c r="P191" s="2">
        <v>0</v>
      </c>
      <c r="Q191" s="2">
        <f t="shared" si="8"/>
        <v>0</v>
      </c>
      <c r="R191" s="2"/>
      <c r="S191" s="2"/>
      <c r="T191" s="2"/>
    </row>
    <row r="192" spans="1:20" ht="15">
      <c r="A192" s="2" t="s">
        <v>139</v>
      </c>
      <c r="B192" s="2">
        <v>2017</v>
      </c>
      <c r="C192" s="6">
        <v>1147.477750526635</v>
      </c>
      <c r="D192" s="7">
        <v>1.7121411732075421E-2</v>
      </c>
      <c r="E192" s="10">
        <v>31.61</v>
      </c>
      <c r="F192" s="11">
        <v>7854168</v>
      </c>
      <c r="G192" s="11">
        <v>31165924</v>
      </c>
      <c r="H192" s="2">
        <f t="shared" si="6"/>
        <v>-23311756</v>
      </c>
      <c r="I192" s="15">
        <v>4</v>
      </c>
      <c r="J192" s="15">
        <v>7</v>
      </c>
      <c r="K192" s="2">
        <f t="shared" si="7"/>
        <v>0.5714285714285714</v>
      </c>
      <c r="L192" s="10">
        <v>16.7118510614104</v>
      </c>
      <c r="M192" s="14">
        <v>0.89629999999999999</v>
      </c>
      <c r="N192" s="2"/>
      <c r="O192" s="2">
        <v>1</v>
      </c>
      <c r="P192" s="2">
        <v>0</v>
      </c>
      <c r="Q192" s="2">
        <f t="shared" si="8"/>
        <v>0</v>
      </c>
      <c r="R192" s="2"/>
      <c r="S192" s="2"/>
      <c r="T192" s="2"/>
    </row>
    <row r="193" spans="1:20" ht="15">
      <c r="A193" s="2" t="s">
        <v>139</v>
      </c>
      <c r="B193" s="2">
        <v>2018</v>
      </c>
      <c r="C193" s="6">
        <v>1381.6150306319569</v>
      </c>
      <c r="D193" s="7">
        <v>1.9478793296370082E-2</v>
      </c>
      <c r="E193" s="10">
        <v>36.979999999999997</v>
      </c>
      <c r="F193" s="11">
        <v>8655140</v>
      </c>
      <c r="G193" s="11">
        <v>20004936</v>
      </c>
      <c r="H193" s="2">
        <f t="shared" si="6"/>
        <v>-11349796</v>
      </c>
      <c r="I193" s="15">
        <v>0</v>
      </c>
      <c r="J193" s="15">
        <v>8</v>
      </c>
      <c r="K193" s="2">
        <f t="shared" si="7"/>
        <v>0</v>
      </c>
      <c r="L193" s="10">
        <v>16.5154267145228</v>
      </c>
      <c r="M193" s="14">
        <v>0.92781000000000002</v>
      </c>
      <c r="N193" s="2"/>
      <c r="O193" s="2">
        <v>1</v>
      </c>
      <c r="P193" s="2">
        <v>0</v>
      </c>
      <c r="Q193" s="2">
        <f t="shared" si="8"/>
        <v>0</v>
      </c>
      <c r="R193" s="2"/>
      <c r="S193" s="2"/>
      <c r="T193" s="2"/>
    </row>
    <row r="194" spans="1:20" ht="15">
      <c r="A194" s="2" t="s">
        <v>139</v>
      </c>
      <c r="B194" s="2">
        <v>2019</v>
      </c>
      <c r="C194" s="6">
        <v>1473.7929201479812</v>
      </c>
      <c r="D194" s="7">
        <v>1.984190119313552E-2</v>
      </c>
      <c r="E194" s="10">
        <v>37.57</v>
      </c>
      <c r="F194" s="11">
        <v>7306867</v>
      </c>
      <c r="G194" s="11">
        <v>24083909</v>
      </c>
      <c r="H194" s="2">
        <f t="shared" ref="H194:H221" si="9">F194-G194</f>
        <v>-16777042</v>
      </c>
      <c r="I194" s="15">
        <v>2</v>
      </c>
      <c r="J194" s="15">
        <v>38</v>
      </c>
      <c r="K194" s="2">
        <f t="shared" ref="K194:K221" si="10">IFERROR(I194/J194,"")</f>
        <v>5.2631578947368418E-2</v>
      </c>
      <c r="L194" s="10">
        <v>16.002623355241901</v>
      </c>
      <c r="M194" s="14">
        <v>0.98701000000000005</v>
      </c>
      <c r="N194" s="2"/>
      <c r="O194" s="2">
        <v>1</v>
      </c>
      <c r="P194" s="2">
        <v>0</v>
      </c>
      <c r="Q194" s="2">
        <f t="shared" ref="Q194:Q221" si="11">O194*P194</f>
        <v>0</v>
      </c>
      <c r="R194" s="2"/>
      <c r="S194" s="2"/>
      <c r="T194" s="2"/>
    </row>
    <row r="195" spans="1:20" ht="15">
      <c r="A195" s="2" t="s">
        <v>139</v>
      </c>
      <c r="B195" s="2">
        <v>2020</v>
      </c>
      <c r="C195" s="6">
        <v>1535.3205657125043</v>
      </c>
      <c r="D195" s="7">
        <v>2.049155580230282E-2</v>
      </c>
      <c r="E195" s="10">
        <v>33.71</v>
      </c>
      <c r="F195" s="11">
        <v>12548566</v>
      </c>
      <c r="G195" s="11">
        <v>39323623</v>
      </c>
      <c r="H195" s="2">
        <f t="shared" si="9"/>
        <v>-26775057</v>
      </c>
      <c r="I195" s="15">
        <v>37</v>
      </c>
      <c r="J195" s="15">
        <v>119</v>
      </c>
      <c r="K195" s="2">
        <f t="shared" si="10"/>
        <v>0.31092436974789917</v>
      </c>
      <c r="L195" s="10">
        <v>15.4605506017385</v>
      </c>
      <c r="M195" s="14">
        <v>1.1237900000000001</v>
      </c>
      <c r="N195" s="2"/>
      <c r="O195" s="2">
        <v>1</v>
      </c>
      <c r="P195" s="2">
        <v>0</v>
      </c>
      <c r="Q195" s="2">
        <f t="shared" si="11"/>
        <v>0</v>
      </c>
      <c r="R195" s="2"/>
      <c r="S195" s="2"/>
      <c r="T195" s="2"/>
    </row>
    <row r="196" spans="1:20" ht="15">
      <c r="A196" s="2" t="s">
        <v>139</v>
      </c>
      <c r="B196" s="2">
        <v>2021</v>
      </c>
      <c r="C196" s="6">
        <v>1573.4237553585713</v>
      </c>
      <c r="D196" s="7">
        <v>1.9495529204279088E-2</v>
      </c>
      <c r="E196" s="10">
        <v>22.32</v>
      </c>
      <c r="F196" s="11">
        <v>13852777</v>
      </c>
      <c r="G196" s="11">
        <v>36697991</v>
      </c>
      <c r="H196" s="2">
        <f t="shared" si="9"/>
        <v>-22845214</v>
      </c>
      <c r="I196" s="15">
        <v>46</v>
      </c>
      <c r="J196" s="15">
        <v>109</v>
      </c>
      <c r="K196" s="2">
        <f t="shared" si="10"/>
        <v>0.42201834862385323</v>
      </c>
      <c r="L196" s="10">
        <v>15.9178789739431</v>
      </c>
      <c r="M196" s="14">
        <v>1.1004400000000001</v>
      </c>
      <c r="N196" s="2"/>
      <c r="O196" s="2">
        <v>1</v>
      </c>
      <c r="P196" s="2">
        <v>0</v>
      </c>
      <c r="Q196" s="2">
        <f t="shared" si="11"/>
        <v>0</v>
      </c>
      <c r="R196" s="2"/>
      <c r="S196" s="2"/>
      <c r="T196" s="2"/>
    </row>
    <row r="197" spans="1:20" ht="15">
      <c r="A197" s="2" t="s">
        <v>139</v>
      </c>
      <c r="B197" s="2">
        <v>2022</v>
      </c>
      <c r="C197" s="6">
        <v>2053.1078227258986</v>
      </c>
      <c r="D197" s="7">
        <v>2.55872526789621E-2</v>
      </c>
      <c r="E197" s="10">
        <v>36.619999999999997</v>
      </c>
      <c r="F197" s="11">
        <v>15465809</v>
      </c>
      <c r="G197" s="11">
        <v>19829128</v>
      </c>
      <c r="H197" s="2">
        <f t="shared" si="9"/>
        <v>-4363319</v>
      </c>
      <c r="I197" s="15">
        <v>42</v>
      </c>
      <c r="J197" s="15">
        <v>75</v>
      </c>
      <c r="K197" s="2">
        <f t="shared" si="10"/>
        <v>0.56000000000000005</v>
      </c>
      <c r="L197" s="10">
        <v>16.358873463534401</v>
      </c>
      <c r="M197" s="14">
        <v>1.0528900000000001</v>
      </c>
      <c r="N197" s="2"/>
      <c r="O197" s="2">
        <v>1</v>
      </c>
      <c r="P197" s="2">
        <v>1</v>
      </c>
      <c r="Q197" s="2">
        <f t="shared" si="11"/>
        <v>1</v>
      </c>
      <c r="R197" s="2"/>
      <c r="S197" s="2"/>
      <c r="T197" s="2"/>
    </row>
    <row r="198" spans="1:20" ht="15">
      <c r="A198" s="2" t="s">
        <v>139</v>
      </c>
      <c r="B198" s="2">
        <v>2023</v>
      </c>
      <c r="C198" s="6">
        <v>2281.636760465085</v>
      </c>
      <c r="D198" s="7">
        <v>2.8363187347378773E-2</v>
      </c>
      <c r="E198" s="10">
        <v>28.66</v>
      </c>
      <c r="F198" s="11">
        <v>15882798</v>
      </c>
      <c r="G198" s="11">
        <v>58711025</v>
      </c>
      <c r="H198" s="2">
        <f t="shared" si="9"/>
        <v>-42828227</v>
      </c>
      <c r="I198" s="15">
        <v>20</v>
      </c>
      <c r="J198" s="15">
        <v>97</v>
      </c>
      <c r="K198" s="2">
        <f t="shared" si="10"/>
        <v>0.20618556701030927</v>
      </c>
      <c r="L198" s="10">
        <v>14.577012795348001</v>
      </c>
      <c r="M198" s="14">
        <v>1.0497700000000001</v>
      </c>
      <c r="N198" s="2"/>
      <c r="O198" s="2">
        <v>1</v>
      </c>
      <c r="P198" s="2">
        <v>1</v>
      </c>
      <c r="Q198" s="2">
        <f t="shared" si="11"/>
        <v>1</v>
      </c>
      <c r="R198" s="2"/>
      <c r="S198" s="2"/>
      <c r="T198" s="2"/>
    </row>
    <row r="199" spans="1:20" ht="15">
      <c r="A199" s="2" t="s">
        <v>139</v>
      </c>
      <c r="B199" s="2">
        <v>2024</v>
      </c>
      <c r="C199" s="6">
        <v>2688.6330843750025</v>
      </c>
      <c r="D199" s="7">
        <v>3.1444552624154638E-2</v>
      </c>
      <c r="E199" s="10">
        <v>30.02</v>
      </c>
      <c r="F199" s="11">
        <v>18617450</v>
      </c>
      <c r="G199" s="11">
        <v>68397673</v>
      </c>
      <c r="H199" s="2">
        <f t="shared" si="9"/>
        <v>-49780223</v>
      </c>
      <c r="I199" s="15">
        <v>45</v>
      </c>
      <c r="J199" s="15">
        <v>77</v>
      </c>
      <c r="K199" s="2">
        <f t="shared" si="10"/>
        <v>0.58441558441558439</v>
      </c>
      <c r="L199" s="10">
        <v>14.040534050209899</v>
      </c>
      <c r="M199" s="14"/>
      <c r="N199" s="2"/>
      <c r="O199" s="2">
        <v>1</v>
      </c>
      <c r="P199" s="2">
        <v>1</v>
      </c>
      <c r="Q199" s="2">
        <f t="shared" si="11"/>
        <v>1</v>
      </c>
      <c r="R199" s="2"/>
      <c r="S199" s="2"/>
      <c r="T199" s="2"/>
    </row>
    <row r="200" spans="1:20" ht="15">
      <c r="A200" s="2" t="s">
        <v>140</v>
      </c>
      <c r="B200" s="2">
        <v>2014</v>
      </c>
      <c r="C200" s="6">
        <v>11434.106106736082</v>
      </c>
      <c r="D200" s="7">
        <v>1.8651949197301902E-2</v>
      </c>
      <c r="E200" s="10">
        <v>25.08</v>
      </c>
      <c r="F200" s="11">
        <v>49934410</v>
      </c>
      <c r="G200" s="11">
        <v>45387822</v>
      </c>
      <c r="H200" s="2">
        <f t="shared" si="9"/>
        <v>4546588</v>
      </c>
      <c r="I200" s="15">
        <v>1093</v>
      </c>
      <c r="J200" s="15">
        <v>1529</v>
      </c>
      <c r="K200" s="2">
        <f t="shared" si="10"/>
        <v>0.71484630477436228</v>
      </c>
      <c r="L200" s="10">
        <v>16.905857508963201</v>
      </c>
      <c r="M200" s="14">
        <v>0.85640000000000005</v>
      </c>
      <c r="N200" s="2"/>
      <c r="O200" s="2">
        <v>0</v>
      </c>
      <c r="P200" s="2">
        <v>0</v>
      </c>
      <c r="Q200" s="2">
        <f t="shared" si="11"/>
        <v>0</v>
      </c>
      <c r="R200" s="2"/>
      <c r="S200" s="2"/>
      <c r="T200" s="2"/>
    </row>
    <row r="201" spans="1:20" ht="15">
      <c r="A201" s="2" t="s">
        <v>140</v>
      </c>
      <c r="B201" s="2">
        <v>2015</v>
      </c>
      <c r="C201" s="6">
        <v>11765.73329668304</v>
      </c>
      <c r="D201" s="7">
        <v>1.8104473040281455E-2</v>
      </c>
      <c r="E201" s="10">
        <v>25.13</v>
      </c>
      <c r="F201" s="11">
        <v>73909827</v>
      </c>
      <c r="G201" s="11">
        <v>83232394</v>
      </c>
      <c r="H201" s="2">
        <f t="shared" si="9"/>
        <v>-9322567</v>
      </c>
      <c r="I201" s="15">
        <v>292</v>
      </c>
      <c r="J201" s="15">
        <v>446</v>
      </c>
      <c r="K201" s="2">
        <f t="shared" si="10"/>
        <v>0.6547085201793722</v>
      </c>
      <c r="L201" s="10">
        <v>16.7689719715354</v>
      </c>
      <c r="M201" s="14">
        <v>0.96731999999999996</v>
      </c>
      <c r="N201" s="2"/>
      <c r="O201" s="2">
        <v>0</v>
      </c>
      <c r="P201" s="2">
        <v>0</v>
      </c>
      <c r="Q201" s="2">
        <f t="shared" si="11"/>
        <v>0</v>
      </c>
      <c r="R201" s="2"/>
      <c r="S201" s="2"/>
      <c r="T201" s="2"/>
    </row>
    <row r="202" spans="1:20" ht="15">
      <c r="A202" s="2" t="s">
        <v>140</v>
      </c>
      <c r="B202" s="2">
        <v>2016</v>
      </c>
      <c r="C202" s="6">
        <v>13794.535267447553</v>
      </c>
      <c r="D202" s="7">
        <v>2.0476519510286385E-2</v>
      </c>
      <c r="E202" s="10">
        <v>25.55</v>
      </c>
      <c r="F202" s="11">
        <v>122666240</v>
      </c>
      <c r="G202" s="11">
        <v>30508489</v>
      </c>
      <c r="H202" s="2">
        <f t="shared" si="9"/>
        <v>92157751</v>
      </c>
      <c r="I202" s="15">
        <v>176</v>
      </c>
      <c r="J202" s="15">
        <v>324</v>
      </c>
      <c r="K202" s="2">
        <f t="shared" si="10"/>
        <v>0.54320987654320985</v>
      </c>
      <c r="L202" s="10">
        <v>16.838012127767598</v>
      </c>
      <c r="M202" s="14">
        <v>1.1197900000000001</v>
      </c>
      <c r="N202" s="2"/>
      <c r="O202" s="2">
        <v>0</v>
      </c>
      <c r="P202" s="2">
        <v>0</v>
      </c>
      <c r="Q202" s="2">
        <f t="shared" si="11"/>
        <v>0</v>
      </c>
      <c r="R202" s="2"/>
      <c r="S202" s="2"/>
      <c r="T202" s="2"/>
    </row>
    <row r="203" spans="1:20" ht="15">
      <c r="A203" s="2" t="s">
        <v>140</v>
      </c>
      <c r="B203" s="2">
        <v>2017</v>
      </c>
      <c r="C203" s="6">
        <v>14805.931890879952</v>
      </c>
      <c r="D203" s="7">
        <v>2.0384707518643953E-2</v>
      </c>
      <c r="E203" s="10">
        <v>30.3</v>
      </c>
      <c r="F203" s="11">
        <v>45185389</v>
      </c>
      <c r="G203" s="11">
        <v>98082285</v>
      </c>
      <c r="H203" s="2">
        <f t="shared" si="9"/>
        <v>-52896896</v>
      </c>
      <c r="I203" s="15">
        <v>146</v>
      </c>
      <c r="J203" s="15">
        <v>427</v>
      </c>
      <c r="K203" s="2">
        <f t="shared" si="10"/>
        <v>0.34192037470725994</v>
      </c>
      <c r="L203" s="10">
        <v>17.5741769956451</v>
      </c>
      <c r="M203" s="14">
        <v>1.17632</v>
      </c>
      <c r="N203" s="2"/>
      <c r="O203" s="2">
        <v>0</v>
      </c>
      <c r="P203" s="2">
        <v>0</v>
      </c>
      <c r="Q203" s="2">
        <f t="shared" si="11"/>
        <v>0</v>
      </c>
      <c r="R203" s="2"/>
      <c r="S203" s="2"/>
      <c r="T203" s="2"/>
    </row>
    <row r="204" spans="1:20" ht="15">
      <c r="A204" s="2" t="s">
        <v>140</v>
      </c>
      <c r="B204" s="2">
        <v>2018</v>
      </c>
      <c r="C204" s="6">
        <v>18792.827518435504</v>
      </c>
      <c r="D204" s="7">
        <v>2.4920666721758872E-2</v>
      </c>
      <c r="E204" s="10">
        <v>37.64</v>
      </c>
      <c r="F204" s="11">
        <v>73489588</v>
      </c>
      <c r="G204" s="11">
        <v>154330930</v>
      </c>
      <c r="H204" s="2">
        <f t="shared" si="9"/>
        <v>-80841342</v>
      </c>
      <c r="I204" s="15">
        <v>108</v>
      </c>
      <c r="J204" s="15">
        <v>476</v>
      </c>
      <c r="K204" s="2">
        <f t="shared" si="10"/>
        <v>0.22689075630252101</v>
      </c>
      <c r="L204" s="10">
        <v>18.909501416205199</v>
      </c>
      <c r="M204" s="14">
        <v>1.2709299999999999</v>
      </c>
      <c r="N204" s="2"/>
      <c r="O204" s="2">
        <v>0</v>
      </c>
      <c r="P204" s="2">
        <v>0</v>
      </c>
      <c r="Q204" s="2">
        <f t="shared" si="11"/>
        <v>0</v>
      </c>
      <c r="R204" s="2"/>
      <c r="S204" s="2"/>
      <c r="T204" s="2"/>
    </row>
    <row r="205" spans="1:20" ht="15">
      <c r="A205" s="2" t="s">
        <v>140</v>
      </c>
      <c r="B205" s="2">
        <v>2019</v>
      </c>
      <c r="C205" s="6">
        <v>19977.307646644917</v>
      </c>
      <c r="D205" s="7">
        <v>2.6383842026924984E-2</v>
      </c>
      <c r="E205" s="10">
        <v>34.32</v>
      </c>
      <c r="F205" s="11">
        <v>83925788</v>
      </c>
      <c r="G205" s="11">
        <v>72167554</v>
      </c>
      <c r="H205" s="2">
        <f t="shared" si="9"/>
        <v>11758234</v>
      </c>
      <c r="I205" s="15">
        <v>111</v>
      </c>
      <c r="J205" s="15">
        <v>742</v>
      </c>
      <c r="K205" s="2">
        <f t="shared" si="10"/>
        <v>0.14959568733153639</v>
      </c>
      <c r="L205" s="10">
        <v>18.2598551795211</v>
      </c>
      <c r="M205" s="14">
        <v>1.3196000000000001</v>
      </c>
      <c r="N205" s="2"/>
      <c r="O205" s="2">
        <v>0</v>
      </c>
      <c r="P205" s="2">
        <v>0</v>
      </c>
      <c r="Q205" s="2">
        <f t="shared" si="11"/>
        <v>0</v>
      </c>
      <c r="R205" s="2"/>
      <c r="S205" s="2"/>
      <c r="T205" s="2"/>
    </row>
    <row r="206" spans="1:20" ht="15">
      <c r="A206" s="2" t="s">
        <v>140</v>
      </c>
      <c r="B206" s="2">
        <v>2020</v>
      </c>
      <c r="C206" s="6">
        <v>16980.775537882575</v>
      </c>
      <c r="D206" s="7">
        <v>2.1557795402108008E-2</v>
      </c>
      <c r="E206" s="10">
        <v>30.73</v>
      </c>
      <c r="F206" s="11">
        <v>76371074</v>
      </c>
      <c r="G206" s="11">
        <v>49302953</v>
      </c>
      <c r="H206" s="2">
        <f t="shared" si="9"/>
        <v>27068121</v>
      </c>
      <c r="I206" s="15">
        <v>12</v>
      </c>
      <c r="J206" s="15">
        <v>110</v>
      </c>
      <c r="K206" s="2">
        <f t="shared" si="10"/>
        <v>0.10909090909090909</v>
      </c>
      <c r="L206" s="10">
        <v>19.034770646731602</v>
      </c>
      <c r="M206" s="14">
        <v>1.36748</v>
      </c>
      <c r="N206" s="2"/>
      <c r="O206" s="2">
        <v>0</v>
      </c>
      <c r="P206" s="2">
        <v>0</v>
      </c>
      <c r="Q206" s="2">
        <f t="shared" si="11"/>
        <v>0</v>
      </c>
      <c r="R206" s="2"/>
      <c r="S206" s="2"/>
      <c r="T206" s="2"/>
    </row>
    <row r="207" spans="1:20" ht="15">
      <c r="A207" s="2" t="s">
        <v>140</v>
      </c>
      <c r="B207" s="2">
        <v>2021</v>
      </c>
      <c r="C207" s="6">
        <v>17277.662289749642</v>
      </c>
      <c r="D207" s="7">
        <v>1.8144583802015349E-2</v>
      </c>
      <c r="E207" s="10">
        <v>29.31</v>
      </c>
      <c r="F207" s="11">
        <v>163235193</v>
      </c>
      <c r="G207" s="11">
        <v>40453106</v>
      </c>
      <c r="H207" s="2">
        <f t="shared" si="9"/>
        <v>122782087</v>
      </c>
      <c r="I207" s="15">
        <v>16</v>
      </c>
      <c r="J207" s="15">
        <v>249</v>
      </c>
      <c r="K207" s="2">
        <f t="shared" si="10"/>
        <v>6.4257028112449793E-2</v>
      </c>
      <c r="L207" s="10">
        <v>22.123915892109402</v>
      </c>
      <c r="M207" s="14">
        <v>1.4020900000000001</v>
      </c>
      <c r="N207" s="2"/>
      <c r="O207" s="2">
        <v>0</v>
      </c>
      <c r="P207" s="2">
        <v>0</v>
      </c>
      <c r="Q207" s="2">
        <f t="shared" si="11"/>
        <v>0</v>
      </c>
      <c r="R207" s="2"/>
      <c r="S207" s="2"/>
      <c r="T207" s="2"/>
    </row>
    <row r="208" spans="1:20" ht="15">
      <c r="A208" s="2" t="s">
        <v>140</v>
      </c>
      <c r="B208" s="2">
        <v>2022</v>
      </c>
      <c r="C208" s="6">
        <v>18511.659889132217</v>
      </c>
      <c r="D208" s="7">
        <v>1.624804171015112E-2</v>
      </c>
      <c r="E208" s="10">
        <v>28.43</v>
      </c>
      <c r="F208" s="11">
        <v>158266883</v>
      </c>
      <c r="G208" s="11">
        <v>43789884</v>
      </c>
      <c r="H208" s="2">
        <f t="shared" si="9"/>
        <v>114476999</v>
      </c>
      <c r="I208" s="15">
        <v>27</v>
      </c>
      <c r="J208" s="15">
        <v>187</v>
      </c>
      <c r="K208" s="2">
        <f t="shared" si="10"/>
        <v>0.14438502673796791</v>
      </c>
      <c r="L208" s="10">
        <v>21.801950733182501</v>
      </c>
      <c r="M208" s="14">
        <v>1.32342</v>
      </c>
      <c r="N208" s="2"/>
      <c r="O208" s="2">
        <v>0</v>
      </c>
      <c r="P208" s="2">
        <v>1</v>
      </c>
      <c r="Q208" s="2">
        <f t="shared" si="11"/>
        <v>0</v>
      </c>
      <c r="R208" s="2"/>
      <c r="S208" s="2"/>
      <c r="T208" s="2"/>
    </row>
    <row r="209" spans="1:20" ht="15">
      <c r="A209" s="2" t="s">
        <v>140</v>
      </c>
      <c r="B209" s="2">
        <v>2023</v>
      </c>
      <c r="C209" s="6">
        <v>22059.616010151502</v>
      </c>
      <c r="D209" s="7">
        <v>1.685271582274012E-2</v>
      </c>
      <c r="E209" s="10">
        <v>29.79</v>
      </c>
      <c r="F209" s="11">
        <v>141574187</v>
      </c>
      <c r="G209" s="11">
        <v>77235845</v>
      </c>
      <c r="H209" s="2">
        <f t="shared" si="9"/>
        <v>64338342</v>
      </c>
      <c r="I209" s="15">
        <v>101</v>
      </c>
      <c r="J209" s="15">
        <v>679</v>
      </c>
      <c r="K209" s="2">
        <f t="shared" si="10"/>
        <v>0.14874815905743741</v>
      </c>
      <c r="L209" s="10">
        <v>19.4686514459728</v>
      </c>
      <c r="M209" s="14">
        <v>1.4222399999999999</v>
      </c>
      <c r="N209" s="2"/>
      <c r="O209" s="2">
        <v>0</v>
      </c>
      <c r="P209" s="2">
        <v>1</v>
      </c>
      <c r="Q209" s="2">
        <f t="shared" si="11"/>
        <v>0</v>
      </c>
      <c r="R209" s="2"/>
      <c r="S209" s="2"/>
      <c r="T209" s="2"/>
    </row>
    <row r="210" spans="1:20" ht="15">
      <c r="A210" s="2" t="s">
        <v>140</v>
      </c>
      <c r="B210" s="2">
        <v>2024</v>
      </c>
      <c r="C210" s="6">
        <v>25012.152848366193</v>
      </c>
      <c r="D210" s="7">
        <v>1.8403146027679805E-2</v>
      </c>
      <c r="E210" s="10">
        <v>33.36</v>
      </c>
      <c r="F210" s="11">
        <v>144934263</v>
      </c>
      <c r="G210" s="11">
        <v>65201168</v>
      </c>
      <c r="H210" s="2">
        <f t="shared" si="9"/>
        <v>79733095</v>
      </c>
      <c r="I210" s="15">
        <v>86</v>
      </c>
      <c r="J210" s="15">
        <v>381</v>
      </c>
      <c r="K210" s="2">
        <f t="shared" si="10"/>
        <v>0.22572178477690288</v>
      </c>
      <c r="L210" s="10">
        <v>16.8424801408013</v>
      </c>
      <c r="M210" s="14"/>
      <c r="N210" s="2"/>
      <c r="O210" s="2">
        <v>0</v>
      </c>
      <c r="P210" s="2">
        <v>1</v>
      </c>
      <c r="Q210" s="2">
        <f t="shared" si="11"/>
        <v>0</v>
      </c>
      <c r="R210" s="2"/>
      <c r="S210" s="2"/>
      <c r="T210" s="2"/>
    </row>
    <row r="211" spans="1:20" ht="15">
      <c r="A211" s="2" t="s">
        <v>141</v>
      </c>
      <c r="B211" s="2">
        <v>2014</v>
      </c>
      <c r="C211" s="6">
        <v>5226.6334028996189</v>
      </c>
      <c r="D211" s="7">
        <v>1.9082522771435701E-2</v>
      </c>
      <c r="E211" s="10">
        <v>8.17</v>
      </c>
      <c r="F211" s="11">
        <v>16447495</v>
      </c>
      <c r="G211" s="11">
        <v>5541503</v>
      </c>
      <c r="H211" s="2">
        <f t="shared" si="9"/>
        <v>10905992</v>
      </c>
      <c r="I211" s="15">
        <v>61</v>
      </c>
      <c r="J211" s="15">
        <v>204</v>
      </c>
      <c r="K211" s="2">
        <f t="shared" si="10"/>
        <v>0.29901960784313725</v>
      </c>
      <c r="L211" s="10">
        <v>7.7932313118344503</v>
      </c>
      <c r="M211" s="14">
        <v>0.84553</v>
      </c>
      <c r="N211" s="2"/>
      <c r="O211" s="2">
        <v>0</v>
      </c>
      <c r="P211" s="2">
        <v>0</v>
      </c>
      <c r="Q211" s="2">
        <f t="shared" si="11"/>
        <v>0</v>
      </c>
      <c r="R211" s="2"/>
      <c r="S211" s="2"/>
      <c r="T211" s="2"/>
    </row>
    <row r="212" spans="1:20" ht="15">
      <c r="A212" s="2" t="s">
        <v>141</v>
      </c>
      <c r="B212" s="2">
        <v>2015</v>
      </c>
      <c r="C212" s="6">
        <v>5542.741126460026</v>
      </c>
      <c r="D212" s="7">
        <v>2.4774342426141106E-2</v>
      </c>
      <c r="E212" s="10">
        <v>10.4</v>
      </c>
      <c r="F212" s="11">
        <v>13380139</v>
      </c>
      <c r="G212" s="11">
        <v>4160109</v>
      </c>
      <c r="H212" s="2">
        <f t="shared" si="9"/>
        <v>9220030</v>
      </c>
      <c r="I212" s="15">
        <v>92</v>
      </c>
      <c r="J212" s="15">
        <v>728</v>
      </c>
      <c r="K212" s="2">
        <f t="shared" si="10"/>
        <v>0.12637362637362637</v>
      </c>
      <c r="L212" s="10">
        <v>8.2939794133625</v>
      </c>
      <c r="M212" s="14">
        <v>0.97160000000000002</v>
      </c>
      <c r="N212" s="2"/>
      <c r="O212" s="2">
        <v>0</v>
      </c>
      <c r="P212" s="2">
        <v>0</v>
      </c>
      <c r="Q212" s="2">
        <f t="shared" si="11"/>
        <v>0</v>
      </c>
      <c r="R212" s="2"/>
      <c r="S212" s="2"/>
      <c r="T212" s="2"/>
    </row>
    <row r="213" spans="1:20" ht="15">
      <c r="A213" s="2" t="s">
        <v>141</v>
      </c>
      <c r="B213" s="2">
        <v>2016</v>
      </c>
      <c r="C213" s="6">
        <v>5773.7456743340181</v>
      </c>
      <c r="D213" s="7">
        <v>2.5727983375410077E-2</v>
      </c>
      <c r="E213" s="10">
        <v>13.45</v>
      </c>
      <c r="F213" s="11">
        <v>8985110</v>
      </c>
      <c r="G213" s="11">
        <v>4342145</v>
      </c>
      <c r="H213" s="2">
        <f t="shared" si="9"/>
        <v>4642965</v>
      </c>
      <c r="I213" s="15">
        <v>22</v>
      </c>
      <c r="J213" s="15">
        <v>302</v>
      </c>
      <c r="K213" s="2">
        <f t="shared" si="10"/>
        <v>7.2847682119205295E-2</v>
      </c>
      <c r="L213" s="10">
        <v>8.1077472947053</v>
      </c>
      <c r="M213" s="14">
        <v>1.00556</v>
      </c>
      <c r="N213" s="2"/>
      <c r="O213" s="2">
        <v>0</v>
      </c>
      <c r="P213" s="2">
        <v>0</v>
      </c>
      <c r="Q213" s="2">
        <f t="shared" si="11"/>
        <v>0</v>
      </c>
      <c r="R213" s="2"/>
      <c r="S213" s="2"/>
      <c r="T213" s="2"/>
    </row>
    <row r="214" spans="1:20" ht="15">
      <c r="A214" s="2" t="s">
        <v>141</v>
      </c>
      <c r="B214" s="2">
        <v>2017</v>
      </c>
      <c r="C214" s="6">
        <v>5769.135168133128</v>
      </c>
      <c r="D214" s="7">
        <v>2.5566238899209986E-2</v>
      </c>
      <c r="E214" s="10">
        <v>11.28</v>
      </c>
      <c r="F214" s="11">
        <v>13712319.091</v>
      </c>
      <c r="G214" s="11">
        <v>7379361.1380000003</v>
      </c>
      <c r="H214" s="2">
        <f t="shared" si="9"/>
        <v>6332957.9529999997</v>
      </c>
      <c r="I214" s="15">
        <v>25</v>
      </c>
      <c r="J214" s="15">
        <v>51</v>
      </c>
      <c r="K214" s="2">
        <f t="shared" si="10"/>
        <v>0.49019607843137253</v>
      </c>
      <c r="L214" s="10">
        <v>8.0177126583077705</v>
      </c>
      <c r="M214" s="14">
        <v>1.1492</v>
      </c>
      <c r="N214" s="2"/>
      <c r="O214" s="2">
        <v>0</v>
      </c>
      <c r="P214" s="2">
        <v>0</v>
      </c>
      <c r="Q214" s="2">
        <f t="shared" si="11"/>
        <v>0</v>
      </c>
      <c r="R214" s="2"/>
      <c r="S214" s="2"/>
      <c r="T214" s="2"/>
    </row>
    <row r="215" spans="1:20" ht="15">
      <c r="A215" s="2" t="s">
        <v>141</v>
      </c>
      <c r="B215" s="2">
        <v>2018</v>
      </c>
      <c r="C215" s="6">
        <v>6166.5265578887593</v>
      </c>
      <c r="D215" s="7">
        <v>2.7005410820976631E-2</v>
      </c>
      <c r="E215" s="10">
        <v>11.03</v>
      </c>
      <c r="F215" s="11">
        <v>14243342.756999999</v>
      </c>
      <c r="G215" s="11">
        <v>6075854.1100000003</v>
      </c>
      <c r="H215" s="2">
        <f t="shared" si="9"/>
        <v>8167488.6469999989</v>
      </c>
      <c r="I215" s="15">
        <v>33</v>
      </c>
      <c r="J215" s="15">
        <v>39</v>
      </c>
      <c r="K215" s="2">
        <f t="shared" si="10"/>
        <v>0.84615384615384615</v>
      </c>
      <c r="L215" s="10">
        <v>8.1818206279969399</v>
      </c>
      <c r="M215" s="14">
        <v>1.2065999999999999</v>
      </c>
      <c r="N215" s="2"/>
      <c r="O215" s="2">
        <v>0</v>
      </c>
      <c r="P215" s="2">
        <v>0</v>
      </c>
      <c r="Q215" s="2">
        <f t="shared" si="11"/>
        <v>0</v>
      </c>
      <c r="R215" s="2"/>
      <c r="S215" s="2"/>
      <c r="T215" s="2"/>
    </row>
    <row r="216" spans="1:20" ht="15">
      <c r="A216" s="2" t="s">
        <v>141</v>
      </c>
      <c r="B216" s="2">
        <v>2019</v>
      </c>
      <c r="C216" s="6">
        <v>6063.4463372111823</v>
      </c>
      <c r="D216" s="7">
        <v>2.5964836711030521E-2</v>
      </c>
      <c r="E216" s="10">
        <v>11.55</v>
      </c>
      <c r="F216" s="11">
        <v>15839502.151000001</v>
      </c>
      <c r="G216" s="11">
        <v>4403788.5159999998</v>
      </c>
      <c r="H216" s="2">
        <f t="shared" si="9"/>
        <v>11435713.635000002</v>
      </c>
      <c r="I216" s="15">
        <v>87</v>
      </c>
      <c r="J216" s="15">
        <v>93</v>
      </c>
      <c r="K216" s="2">
        <f t="shared" si="10"/>
        <v>0.93548387096774188</v>
      </c>
      <c r="L216" s="10">
        <v>7.8395899929698603</v>
      </c>
      <c r="M216" s="14">
        <v>1.2623599999999999</v>
      </c>
      <c r="N216" s="2"/>
      <c r="O216" s="2">
        <v>0</v>
      </c>
      <c r="P216" s="2">
        <v>0</v>
      </c>
      <c r="Q216" s="2">
        <f t="shared" si="11"/>
        <v>0</v>
      </c>
      <c r="R216" s="2"/>
      <c r="S216" s="2"/>
      <c r="T216" s="2"/>
    </row>
    <row r="217" spans="1:20" ht="15">
      <c r="A217" s="2" t="s">
        <v>141</v>
      </c>
      <c r="B217" s="2">
        <v>2020</v>
      </c>
      <c r="C217" s="6">
        <v>6467.8794532393485</v>
      </c>
      <c r="D217" s="7">
        <v>3.0231076572883396E-2</v>
      </c>
      <c r="E217" s="10">
        <v>10.7</v>
      </c>
      <c r="F217" s="11">
        <v>18353352.440000001</v>
      </c>
      <c r="G217" s="11">
        <v>3961138.0120000001</v>
      </c>
      <c r="H217" s="2">
        <f t="shared" si="9"/>
        <v>14392214.428000001</v>
      </c>
      <c r="I217" s="15">
        <v>1</v>
      </c>
      <c r="J217" s="15">
        <v>92</v>
      </c>
      <c r="K217" s="2">
        <f t="shared" si="10"/>
        <v>1.0869565217391304E-2</v>
      </c>
      <c r="L217" s="10">
        <v>8.4272804222822195</v>
      </c>
      <c r="M217" s="14">
        <v>1.48872</v>
      </c>
      <c r="N217" s="2"/>
      <c r="O217" s="2">
        <v>0</v>
      </c>
      <c r="P217" s="2">
        <v>0</v>
      </c>
      <c r="Q217" s="2">
        <f t="shared" si="11"/>
        <v>0</v>
      </c>
      <c r="R217" s="2"/>
      <c r="S217" s="2"/>
      <c r="T217" s="2"/>
    </row>
    <row r="218" spans="1:20" ht="15">
      <c r="A218" s="2" t="s">
        <v>141</v>
      </c>
      <c r="B218" s="2">
        <v>2021</v>
      </c>
      <c r="C218" s="6">
        <v>8854.1405966700277</v>
      </c>
      <c r="D218" s="7">
        <v>3.8024736784176394E-2</v>
      </c>
      <c r="E218" s="10">
        <v>37.24</v>
      </c>
      <c r="F218" s="11">
        <v>16634040.796</v>
      </c>
      <c r="G218" s="11">
        <v>4902196.017</v>
      </c>
      <c r="H218" s="2">
        <f t="shared" si="9"/>
        <v>11731844.778999999</v>
      </c>
      <c r="I218" s="15">
        <v>7</v>
      </c>
      <c r="J218" s="15">
        <v>231</v>
      </c>
      <c r="K218" s="2">
        <f t="shared" si="10"/>
        <v>3.0303030303030304E-2</v>
      </c>
      <c r="L218" s="10">
        <v>8.6655895772432601</v>
      </c>
      <c r="M218" s="14">
        <v>1.43353</v>
      </c>
      <c r="N218" s="2"/>
      <c r="O218" s="2">
        <v>0</v>
      </c>
      <c r="P218" s="2">
        <v>0</v>
      </c>
      <c r="Q218" s="2">
        <f t="shared" si="11"/>
        <v>0</v>
      </c>
      <c r="R218" s="2"/>
      <c r="S218" s="2"/>
      <c r="T218" s="2"/>
    </row>
    <row r="219" spans="1:20" ht="15">
      <c r="A219" s="2" t="s">
        <v>141</v>
      </c>
      <c r="B219" s="2">
        <v>2022</v>
      </c>
      <c r="C219" s="6">
        <v>9566.9932403659295</v>
      </c>
      <c r="D219" s="7">
        <v>4.0166918292586125E-2</v>
      </c>
      <c r="E219" s="10">
        <v>42.29</v>
      </c>
      <c r="F219" s="11">
        <v>16570839.584000001</v>
      </c>
      <c r="G219" s="11">
        <v>5339220.8689999999</v>
      </c>
      <c r="H219" s="2">
        <f t="shared" si="9"/>
        <v>11231618.715</v>
      </c>
      <c r="I219" s="15">
        <v>124</v>
      </c>
      <c r="J219" s="15">
        <v>441</v>
      </c>
      <c r="K219" s="2">
        <f t="shared" si="10"/>
        <v>0.28117913832199548</v>
      </c>
      <c r="L219" s="10">
        <v>9.7210294514149407</v>
      </c>
      <c r="M219" s="14">
        <v>1.4771399999999999</v>
      </c>
      <c r="N219" s="2"/>
      <c r="O219" s="2">
        <v>0</v>
      </c>
      <c r="P219" s="2">
        <v>1</v>
      </c>
      <c r="Q219" s="2">
        <f t="shared" si="11"/>
        <v>0</v>
      </c>
      <c r="R219" s="2"/>
      <c r="S219" s="2"/>
      <c r="T219" s="2"/>
    </row>
    <row r="220" spans="1:20" ht="15">
      <c r="A220" s="2" t="s">
        <v>141</v>
      </c>
      <c r="B220" s="2">
        <v>2023</v>
      </c>
      <c r="C220" s="6">
        <v>7220.565492340098</v>
      </c>
      <c r="D220" s="7">
        <v>2.8898075203241114E-2</v>
      </c>
      <c r="E220" s="10">
        <v>25.15</v>
      </c>
      <c r="F220" s="11">
        <v>19071138.034000002</v>
      </c>
      <c r="G220" s="11">
        <v>6120143.6610000003</v>
      </c>
      <c r="H220" s="2">
        <f t="shared" si="9"/>
        <v>12950994.373000002</v>
      </c>
      <c r="I220" s="15">
        <v>54</v>
      </c>
      <c r="J220" s="15">
        <v>404</v>
      </c>
      <c r="K220" s="2">
        <f t="shared" si="10"/>
        <v>0.13366336633663367</v>
      </c>
      <c r="L220" s="10">
        <v>8.9479033307090106</v>
      </c>
      <c r="M220" s="14">
        <v>1.4943</v>
      </c>
      <c r="N220" s="2"/>
      <c r="O220" s="2">
        <v>0</v>
      </c>
      <c r="P220" s="2">
        <v>1</v>
      </c>
      <c r="Q220" s="2">
        <f t="shared" si="11"/>
        <v>0</v>
      </c>
      <c r="R220" s="2"/>
      <c r="S220" s="2"/>
      <c r="T220" s="2"/>
    </row>
    <row r="221" spans="1:20" ht="15">
      <c r="A221" s="2" t="s">
        <v>141</v>
      </c>
      <c r="B221" s="2">
        <v>2024</v>
      </c>
      <c r="C221" s="6">
        <v>7391.5762210937573</v>
      </c>
      <c r="D221" s="7">
        <v>2.8846484556215773E-2</v>
      </c>
      <c r="E221" s="10">
        <v>25.72</v>
      </c>
      <c r="F221" s="11">
        <v>32129219.217999998</v>
      </c>
      <c r="G221" s="11">
        <v>10457621.219000001</v>
      </c>
      <c r="H221" s="2">
        <f t="shared" si="9"/>
        <v>21671597.998999998</v>
      </c>
      <c r="I221" s="15">
        <v>166</v>
      </c>
      <c r="J221" s="15">
        <v>631</v>
      </c>
      <c r="K221" s="2">
        <f t="shared" si="10"/>
        <v>0.26307448494453251</v>
      </c>
      <c r="L221" s="10">
        <v>9.0658743329958007</v>
      </c>
      <c r="M221" s="14"/>
      <c r="N221" s="2"/>
      <c r="O221" s="2">
        <v>0</v>
      </c>
      <c r="P221" s="2">
        <v>1</v>
      </c>
      <c r="Q221" s="2">
        <f t="shared" si="11"/>
        <v>0</v>
      </c>
      <c r="R221" s="2"/>
      <c r="S221" s="2"/>
      <c r="T221" s="2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"/>
  <sheetViews>
    <sheetView workbookViewId="0"/>
  </sheetViews>
  <sheetFormatPr baseColWidth="10" defaultColWidth="8.83203125" defaultRowHeight="14"/>
  <cols>
    <col min="1" max="1" width="22" customWidth="1"/>
    <col min="2" max="2" width="18" customWidth="1"/>
    <col min="3" max="3" width="50" customWidth="1"/>
    <col min="4" max="4" width="28" customWidth="1"/>
    <col min="5" max="6" width="24" customWidth="1"/>
    <col min="7" max="7" width="16" customWidth="1"/>
    <col min="8" max="8" width="45" customWidth="1"/>
  </cols>
  <sheetData>
    <row r="1" spans="1:8" ht="16">
      <c r="A1" s="3" t="s">
        <v>142</v>
      </c>
      <c r="B1" s="3" t="s">
        <v>143</v>
      </c>
      <c r="C1" s="3" t="s">
        <v>144</v>
      </c>
      <c r="D1" s="3" t="s">
        <v>145</v>
      </c>
      <c r="E1" s="3" t="s">
        <v>146</v>
      </c>
      <c r="F1" s="3" t="s">
        <v>147</v>
      </c>
      <c r="G1" s="3" t="s">
        <v>148</v>
      </c>
      <c r="H1" s="3" t="s">
        <v>149</v>
      </c>
    </row>
    <row r="2" spans="1:8" ht="45">
      <c r="A2" s="2" t="s">
        <v>150</v>
      </c>
      <c r="B2" s="2" t="s">
        <v>151</v>
      </c>
      <c r="C2" s="2" t="s">
        <v>152</v>
      </c>
      <c r="D2" s="2" t="s">
        <v>153</v>
      </c>
      <c r="E2" s="2" t="s">
        <v>154</v>
      </c>
      <c r="F2" s="2" t="s">
        <v>10</v>
      </c>
      <c r="G2" s="2" t="s">
        <v>155</v>
      </c>
      <c r="H2" s="2" t="s">
        <v>156</v>
      </c>
    </row>
    <row r="3" spans="1:8" ht="30">
      <c r="A3" s="2" t="s">
        <v>157</v>
      </c>
      <c r="B3" s="2" t="s">
        <v>158</v>
      </c>
      <c r="C3" s="2" t="s">
        <v>159</v>
      </c>
      <c r="D3" s="2" t="s">
        <v>160</v>
      </c>
      <c r="E3" s="2" t="s">
        <v>161</v>
      </c>
      <c r="F3" s="2" t="s">
        <v>162</v>
      </c>
      <c r="G3" s="2" t="s">
        <v>163</v>
      </c>
      <c r="H3" s="2" t="s">
        <v>164</v>
      </c>
    </row>
    <row r="4" spans="1:8" ht="30">
      <c r="A4" s="2" t="s">
        <v>165</v>
      </c>
      <c r="B4" s="2" t="s">
        <v>166</v>
      </c>
      <c r="C4" s="2" t="s">
        <v>167</v>
      </c>
      <c r="D4" s="2" t="s">
        <v>160</v>
      </c>
      <c r="E4" s="2" t="s">
        <v>155</v>
      </c>
      <c r="F4" s="2" t="s">
        <v>168</v>
      </c>
      <c r="G4" s="2" t="s">
        <v>163</v>
      </c>
      <c r="H4" s="2" t="s">
        <v>169</v>
      </c>
    </row>
    <row r="5" spans="1:8" ht="15">
      <c r="A5" s="2" t="s">
        <v>170</v>
      </c>
      <c r="B5" s="2" t="s">
        <v>171</v>
      </c>
      <c r="C5" s="2" t="s">
        <v>172</v>
      </c>
      <c r="D5" s="2" t="s">
        <v>173</v>
      </c>
      <c r="E5" s="2" t="s">
        <v>174</v>
      </c>
      <c r="F5" s="2" t="s">
        <v>168</v>
      </c>
      <c r="G5" s="2" t="s">
        <v>163</v>
      </c>
      <c r="H5" s="2" t="s">
        <v>175</v>
      </c>
    </row>
    <row r="6" spans="1:8" ht="30">
      <c r="A6" s="2" t="s">
        <v>176</v>
      </c>
      <c r="B6" s="2" t="s">
        <v>177</v>
      </c>
      <c r="C6" s="2" t="s">
        <v>178</v>
      </c>
      <c r="D6" s="2" t="s">
        <v>173</v>
      </c>
      <c r="E6" s="2" t="s">
        <v>174</v>
      </c>
      <c r="F6" s="2" t="s">
        <v>179</v>
      </c>
      <c r="G6" s="2" t="s">
        <v>180</v>
      </c>
      <c r="H6" s="2" t="s">
        <v>181</v>
      </c>
    </row>
    <row r="7" spans="1:8" ht="15">
      <c r="A7" s="2" t="s">
        <v>182</v>
      </c>
      <c r="B7" s="2" t="s">
        <v>158</v>
      </c>
      <c r="C7" s="2" t="s">
        <v>183</v>
      </c>
      <c r="D7" s="2" t="s">
        <v>88</v>
      </c>
      <c r="E7" s="2" t="s">
        <v>155</v>
      </c>
      <c r="F7" s="2" t="s">
        <v>184</v>
      </c>
      <c r="G7" s="2" t="s">
        <v>185</v>
      </c>
      <c r="H7" s="2" t="s">
        <v>186</v>
      </c>
    </row>
    <row r="8" spans="1:8" ht="15">
      <c r="A8" s="2" t="s">
        <v>187</v>
      </c>
      <c r="B8" s="2" t="s">
        <v>166</v>
      </c>
      <c r="C8" s="2" t="s">
        <v>188</v>
      </c>
      <c r="D8" s="2" t="s">
        <v>189</v>
      </c>
      <c r="E8" s="2" t="s">
        <v>190</v>
      </c>
      <c r="F8" s="2" t="s">
        <v>191</v>
      </c>
      <c r="G8" s="2" t="s">
        <v>163</v>
      </c>
      <c r="H8" s="2" t="s">
        <v>192</v>
      </c>
    </row>
    <row r="9" spans="1:8" ht="15">
      <c r="A9" s="2" t="s">
        <v>62</v>
      </c>
      <c r="B9" s="2" t="s">
        <v>193</v>
      </c>
      <c r="C9" s="2" t="s">
        <v>194</v>
      </c>
      <c r="D9" s="2" t="s">
        <v>189</v>
      </c>
      <c r="E9" s="2" t="s">
        <v>190</v>
      </c>
      <c r="F9" s="2" t="s">
        <v>64</v>
      </c>
      <c r="G9" s="2" t="s">
        <v>163</v>
      </c>
      <c r="H9" s="2" t="s">
        <v>195</v>
      </c>
    </row>
    <row r="10" spans="1:8" ht="30">
      <c r="A10" s="2" t="s">
        <v>196</v>
      </c>
      <c r="B10" s="2" t="s">
        <v>197</v>
      </c>
      <c r="C10" s="2" t="s">
        <v>198</v>
      </c>
      <c r="D10" s="2" t="s">
        <v>199</v>
      </c>
      <c r="E10" s="2" t="s">
        <v>200</v>
      </c>
      <c r="F10" s="2" t="s">
        <v>201</v>
      </c>
      <c r="G10" s="2" t="s">
        <v>163</v>
      </c>
      <c r="H10" s="2" t="s">
        <v>202</v>
      </c>
    </row>
    <row r="11" spans="1:8" ht="30">
      <c r="A11" s="2" t="s">
        <v>203</v>
      </c>
      <c r="B11" s="2" t="s">
        <v>204</v>
      </c>
      <c r="C11" s="2" t="s">
        <v>205</v>
      </c>
      <c r="D11" s="2" t="s">
        <v>199</v>
      </c>
      <c r="E11" s="2" t="s">
        <v>155</v>
      </c>
      <c r="F11" s="2" t="s">
        <v>206</v>
      </c>
      <c r="G11" s="2" t="s">
        <v>163</v>
      </c>
      <c r="H11" s="2" t="s">
        <v>207</v>
      </c>
    </row>
    <row r="12" spans="1:8" ht="15">
      <c r="A12" s="2" t="s">
        <v>208</v>
      </c>
      <c r="B12" s="2" t="s">
        <v>209</v>
      </c>
      <c r="C12" s="2" t="s">
        <v>210</v>
      </c>
      <c r="D12" s="2" t="s">
        <v>211</v>
      </c>
      <c r="E12" s="2" t="s">
        <v>155</v>
      </c>
      <c r="F12" s="2" t="s">
        <v>212</v>
      </c>
      <c r="G12" s="2" t="s">
        <v>213</v>
      </c>
      <c r="H12" s="2" t="s">
        <v>214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5"/>
  <sheetViews>
    <sheetView workbookViewId="0"/>
  </sheetViews>
  <sheetFormatPr baseColWidth="10" defaultColWidth="8.83203125" defaultRowHeight="14"/>
  <cols>
    <col min="1" max="1" width="41.83203125" customWidth="1"/>
    <col min="2" max="2" width="16.33203125" customWidth="1"/>
    <col min="3" max="3" width="26.5" customWidth="1"/>
    <col min="4" max="4" width="64.6640625" customWidth="1"/>
  </cols>
  <sheetData>
    <row r="1" spans="1:4" ht="15">
      <c r="A1" s="4" t="s">
        <v>215</v>
      </c>
      <c r="B1" s="4" t="s">
        <v>216</v>
      </c>
      <c r="C1" s="4" t="s">
        <v>217</v>
      </c>
      <c r="D1" s="4" t="s">
        <v>149</v>
      </c>
    </row>
    <row r="2" spans="1:4">
      <c r="A2" t="s">
        <v>218</v>
      </c>
      <c r="B2" t="s">
        <v>219</v>
      </c>
      <c r="C2" t="s">
        <v>106</v>
      </c>
      <c r="D2" t="s">
        <v>220</v>
      </c>
    </row>
    <row r="3" spans="1:4">
      <c r="A3" t="s">
        <v>221</v>
      </c>
      <c r="B3" t="s">
        <v>219</v>
      </c>
      <c r="C3" t="s">
        <v>105</v>
      </c>
      <c r="D3" t="s">
        <v>222</v>
      </c>
    </row>
    <row r="4" spans="1:4">
      <c r="A4" t="s">
        <v>223</v>
      </c>
      <c r="B4" t="s">
        <v>219</v>
      </c>
      <c r="C4" t="s">
        <v>107</v>
      </c>
      <c r="D4" t="s">
        <v>224</v>
      </c>
    </row>
    <row r="5" spans="1:4">
      <c r="A5" t="s">
        <v>225</v>
      </c>
      <c r="B5" t="s">
        <v>219</v>
      </c>
      <c r="C5" t="s">
        <v>226</v>
      </c>
      <c r="D5" t="s">
        <v>227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6</vt:i4>
      </vt:variant>
    </vt:vector>
  </HeadingPairs>
  <TitlesOfParts>
    <vt:vector size="6" baseType="lpstr">
      <vt:lpstr>Veri Toplama Planı</vt:lpstr>
      <vt:lpstr>Kaynak Haritası</vt:lpstr>
      <vt:lpstr>İndirme Kontrol Listesi</vt:lpstr>
      <vt:lpstr>Ülke-Yıl Veri Şablonu</vt:lpstr>
      <vt:lpstr>Değişken-Kaynak Eşlemesi</vt:lpstr>
      <vt:lpstr>NATO Veri Giriş Rehberi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Hüseyin  SALTAN</cp:lastModifiedBy>
  <dcterms:created xsi:type="dcterms:W3CDTF">2026-05-22T19:28:57Z</dcterms:created>
  <dcterms:modified xsi:type="dcterms:W3CDTF">2026-05-23T16:47:08Z</dcterms:modified>
</cp:coreProperties>
</file>